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hylandsw-my.sharepoint.com/personal/larissa_trentin_hyland_com/Documents/GEO BRASIL/Projetos/PROYECTO OMEGA BUILD/1. Documentación/"/>
    </mc:Choice>
  </mc:AlternateContent>
  <xr:revisionPtr revIDLastSave="0" documentId="8_{BAE87158-784D-460E-86CB-4637FF7D1B1B}" xr6:coauthVersionLast="47" xr6:coauthVersionMax="47" xr10:uidLastSave="{00000000-0000-0000-0000-000000000000}"/>
  <bookViews>
    <workbookView xWindow="28680" yWindow="-120" windowWidth="29040" windowHeight="15720" tabRatio="500" firstSheet="1" activeTab="2" xr2:uid="{00000000-000D-0000-FFFF-FFFF00000000}"/>
  </bookViews>
  <sheets>
    <sheet name="📊 Dashboard" sheetId="1" r:id="rId1"/>
    <sheet name="E1 · Captura" sheetId="2" r:id="rId2"/>
    <sheet name="E2 · Validación IA" sheetId="3" r:id="rId3"/>
    <sheet name="E3 · Envío" sheetId="4" r:id="rId4"/>
    <sheet name="E4 · Glosas" sheetId="5" r:id="rId5"/>
    <sheet name="E5 · Apelación" sheetId="6" r:id="rId6"/>
    <sheet name="E6 · Pago y Cierre" sheetId="7" r:id="rId7"/>
    <sheet name="📋 Instruccione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1" l="1"/>
  <c r="O62" i="3"/>
  <c r="O36" i="3"/>
  <c r="O52" i="2"/>
  <c r="O45" i="2"/>
  <c r="O37" i="2"/>
  <c r="O30" i="2"/>
  <c r="O25" i="2"/>
  <c r="O17" i="2"/>
  <c r="O7" i="2"/>
  <c r="O7" i="3"/>
  <c r="O22" i="3"/>
  <c r="O29" i="3"/>
  <c r="E60" i="2" a="1"/>
  <c r="E60" i="2"/>
  <c r="E55" i="7"/>
  <c r="C53" i="7"/>
  <c r="F53" i="7" s="1"/>
  <c r="F52" i="7"/>
  <c r="C52" i="7"/>
  <c r="C51" i="7"/>
  <c r="F51" i="7" s="1"/>
  <c r="M49" i="7"/>
  <c r="C49" i="7"/>
  <c r="I49" i="7" s="1"/>
  <c r="C47" i="7"/>
  <c r="F47" i="7" s="1"/>
  <c r="F46" i="7"/>
  <c r="C46" i="7"/>
  <c r="F45" i="7"/>
  <c r="C45" i="7"/>
  <c r="F44" i="7"/>
  <c r="C44" i="7"/>
  <c r="M42" i="7"/>
  <c r="C42" i="7"/>
  <c r="I42" i="7" s="1"/>
  <c r="F40" i="7"/>
  <c r="C40" i="7"/>
  <c r="C39" i="7"/>
  <c r="F39" i="7" s="1"/>
  <c r="C38" i="7"/>
  <c r="F38" i="7" s="1"/>
  <c r="C37" i="7"/>
  <c r="F37" i="7" s="1"/>
  <c r="M35" i="7"/>
  <c r="I35" i="7"/>
  <c r="C35" i="7"/>
  <c r="F33" i="7"/>
  <c r="C33" i="7"/>
  <c r="C32" i="7"/>
  <c r="F32" i="7" s="1"/>
  <c r="F31" i="7"/>
  <c r="C31" i="7"/>
  <c r="F30" i="7"/>
  <c r="C30" i="7"/>
  <c r="M28" i="7"/>
  <c r="I28" i="7"/>
  <c r="C28" i="7"/>
  <c r="C26" i="7"/>
  <c r="F26" i="7" s="1"/>
  <c r="C25" i="7"/>
  <c r="F25" i="7" s="1"/>
  <c r="C24" i="7"/>
  <c r="F24" i="7" s="1"/>
  <c r="F23" i="7"/>
  <c r="C23" i="7"/>
  <c r="M21" i="7"/>
  <c r="I21" i="7"/>
  <c r="C21" i="7"/>
  <c r="C19" i="7"/>
  <c r="F19" i="7" s="1"/>
  <c r="C18" i="7"/>
  <c r="F18" i="7" s="1"/>
  <c r="F17" i="7"/>
  <c r="C17" i="7"/>
  <c r="F16" i="7"/>
  <c r="C16" i="7"/>
  <c r="M14" i="7"/>
  <c r="I14" i="7"/>
  <c r="C14" i="7"/>
  <c r="C12" i="7"/>
  <c r="F12" i="7" s="1"/>
  <c r="C11" i="7"/>
  <c r="F11" i="7" s="1"/>
  <c r="F10" i="7"/>
  <c r="C10" i="7"/>
  <c r="F9" i="7"/>
  <c r="C9" i="7"/>
  <c r="M7" i="7"/>
  <c r="C7" i="7"/>
  <c r="I7" i="7" s="1"/>
  <c r="E47" i="6"/>
  <c r="M14" i="6" s="1"/>
  <c r="C45" i="6"/>
  <c r="F45" i="6" s="1"/>
  <c r="C44" i="6"/>
  <c r="F44" i="6" s="1"/>
  <c r="F43" i="6"/>
  <c r="C43" i="6"/>
  <c r="I41" i="6"/>
  <c r="C41" i="6"/>
  <c r="C39" i="6"/>
  <c r="F39" i="6" s="1"/>
  <c r="C38" i="6"/>
  <c r="F38" i="6" s="1"/>
  <c r="F37" i="6"/>
  <c r="C37" i="6"/>
  <c r="F36" i="6"/>
  <c r="C36" i="6"/>
  <c r="I34" i="6"/>
  <c r="C34" i="6"/>
  <c r="C32" i="6"/>
  <c r="F32" i="6" s="1"/>
  <c r="C31" i="6"/>
  <c r="F31" i="6" s="1"/>
  <c r="F30" i="6"/>
  <c r="C30" i="6"/>
  <c r="I28" i="6"/>
  <c r="C28" i="6"/>
  <c r="C26" i="6"/>
  <c r="F26" i="6" s="1"/>
  <c r="C25" i="6"/>
  <c r="F25" i="6" s="1"/>
  <c r="F24" i="6"/>
  <c r="C24" i="6"/>
  <c r="F23" i="6"/>
  <c r="C23" i="6"/>
  <c r="I21" i="6"/>
  <c r="C21" i="6"/>
  <c r="C19" i="6"/>
  <c r="F19" i="6" s="1"/>
  <c r="C18" i="6"/>
  <c r="F18" i="6" s="1"/>
  <c r="F17" i="6"/>
  <c r="C17" i="6"/>
  <c r="F16" i="6"/>
  <c r="C16" i="6"/>
  <c r="C14" i="6"/>
  <c r="I14" i="6" s="1"/>
  <c r="C12" i="6"/>
  <c r="F12" i="6" s="1"/>
  <c r="F11" i="6"/>
  <c r="C11" i="6"/>
  <c r="F10" i="6"/>
  <c r="C10" i="6"/>
  <c r="C9" i="6"/>
  <c r="F9" i="6" s="1"/>
  <c r="M7" i="6"/>
  <c r="C7" i="6"/>
  <c r="I7" i="6" s="1"/>
  <c r="E61" i="5"/>
  <c r="M48" i="5" s="1"/>
  <c r="C59" i="5"/>
  <c r="F59" i="5" s="1"/>
  <c r="F58" i="5"/>
  <c r="C58" i="5"/>
  <c r="F57" i="5"/>
  <c r="C57" i="5"/>
  <c r="C56" i="5"/>
  <c r="F56" i="5" s="1"/>
  <c r="C54" i="5"/>
  <c r="I54" i="5" s="1"/>
  <c r="C52" i="5"/>
  <c r="F52" i="5" s="1"/>
  <c r="N48" i="5" s="1"/>
  <c r="F51" i="5"/>
  <c r="C51" i="5"/>
  <c r="F50" i="5"/>
  <c r="C50" i="5"/>
  <c r="C48" i="5"/>
  <c r="I48" i="5" s="1"/>
  <c r="C46" i="5"/>
  <c r="F46" i="5" s="1"/>
  <c r="F45" i="5"/>
  <c r="C45" i="5"/>
  <c r="F44" i="5"/>
  <c r="C44" i="5"/>
  <c r="I42" i="5"/>
  <c r="C42" i="5"/>
  <c r="C40" i="5"/>
  <c r="F40" i="5" s="1"/>
  <c r="C39" i="5"/>
  <c r="F39" i="5" s="1"/>
  <c r="F38" i="5"/>
  <c r="C38" i="5"/>
  <c r="F37" i="5"/>
  <c r="C37" i="5"/>
  <c r="C35" i="5"/>
  <c r="I35" i="5" s="1"/>
  <c r="C33" i="5"/>
  <c r="F33" i="5" s="1"/>
  <c r="F32" i="5"/>
  <c r="C32" i="5"/>
  <c r="F31" i="5"/>
  <c r="C31" i="5"/>
  <c r="C30" i="5"/>
  <c r="F30" i="5" s="1"/>
  <c r="C28" i="5"/>
  <c r="I28" i="5" s="1"/>
  <c r="C26" i="5"/>
  <c r="F26" i="5" s="1"/>
  <c r="F25" i="5"/>
  <c r="C25" i="5"/>
  <c r="F24" i="5"/>
  <c r="C24" i="5"/>
  <c r="C23" i="5"/>
  <c r="F23" i="5" s="1"/>
  <c r="C21" i="5"/>
  <c r="I21" i="5" s="1"/>
  <c r="F19" i="5"/>
  <c r="C19" i="5"/>
  <c r="F18" i="5"/>
  <c r="C18" i="5"/>
  <c r="C17" i="5"/>
  <c r="F17" i="5" s="1"/>
  <c r="C16" i="5"/>
  <c r="F16" i="5" s="1"/>
  <c r="M14" i="5"/>
  <c r="I14" i="5"/>
  <c r="C14" i="5"/>
  <c r="F12" i="5"/>
  <c r="C12" i="5"/>
  <c r="F11" i="5"/>
  <c r="C11" i="5"/>
  <c r="C10" i="5"/>
  <c r="F10" i="5" s="1"/>
  <c r="F9" i="5"/>
  <c r="O61" i="5" s="1"/>
  <c r="C9" i="5"/>
  <c r="I7" i="5"/>
  <c r="C7" i="5"/>
  <c r="E49" i="4"/>
  <c r="M14" i="4" s="1"/>
  <c r="F47" i="4"/>
  <c r="C47" i="4"/>
  <c r="F46" i="4"/>
  <c r="C46" i="4"/>
  <c r="C45" i="4"/>
  <c r="F45" i="4" s="1"/>
  <c r="C44" i="4"/>
  <c r="F44" i="4" s="1"/>
  <c r="M42" i="4"/>
  <c r="I42" i="4"/>
  <c r="C42" i="4"/>
  <c r="F40" i="4"/>
  <c r="C40" i="4"/>
  <c r="C39" i="4"/>
  <c r="F39" i="4" s="1"/>
  <c r="C38" i="4"/>
  <c r="F38" i="4" s="1"/>
  <c r="F37" i="4"/>
  <c r="C37" i="4"/>
  <c r="M35" i="4"/>
  <c r="I35" i="4"/>
  <c r="C35" i="4"/>
  <c r="F33" i="4"/>
  <c r="C33" i="4"/>
  <c r="C32" i="4"/>
  <c r="F32" i="4" s="1"/>
  <c r="C31" i="4"/>
  <c r="F31" i="4" s="1"/>
  <c r="F30" i="4"/>
  <c r="C30" i="4"/>
  <c r="M28" i="4"/>
  <c r="I28" i="4"/>
  <c r="C28" i="4"/>
  <c r="C26" i="4"/>
  <c r="F26" i="4" s="1"/>
  <c r="C25" i="4"/>
  <c r="F25" i="4" s="1"/>
  <c r="F24" i="4"/>
  <c r="C24" i="4"/>
  <c r="F23" i="4"/>
  <c r="C23" i="4"/>
  <c r="I21" i="4"/>
  <c r="C21" i="4"/>
  <c r="C19" i="4"/>
  <c r="F19" i="4" s="1"/>
  <c r="C18" i="4"/>
  <c r="F18" i="4" s="1"/>
  <c r="F17" i="4"/>
  <c r="C17" i="4"/>
  <c r="F16" i="4"/>
  <c r="C16" i="4"/>
  <c r="C14" i="4"/>
  <c r="I14" i="4" s="1"/>
  <c r="C12" i="4"/>
  <c r="F12" i="4" s="1"/>
  <c r="F11" i="4"/>
  <c r="C11" i="4"/>
  <c r="F10" i="4"/>
  <c r="C10" i="4"/>
  <c r="C9" i="4"/>
  <c r="F9" i="4" s="1"/>
  <c r="M7" i="4"/>
  <c r="C7" i="4"/>
  <c r="I7" i="4" s="1"/>
  <c r="E62" i="3"/>
  <c r="M49" i="3" s="1"/>
  <c r="C60" i="3"/>
  <c r="F60" i="3" s="1"/>
  <c r="C59" i="3"/>
  <c r="C58" i="3"/>
  <c r="C57" i="3"/>
  <c r="C55" i="3"/>
  <c r="C53" i="3"/>
  <c r="C52" i="3"/>
  <c r="C51" i="3"/>
  <c r="C49" i="3"/>
  <c r="C47" i="3"/>
  <c r="F47" i="3" s="1"/>
  <c r="C46" i="3"/>
  <c r="F46" i="3" s="1"/>
  <c r="C45" i="3"/>
  <c r="F45" i="3" s="1"/>
  <c r="C44" i="3"/>
  <c r="F44" i="3" s="1"/>
  <c r="C42" i="3"/>
  <c r="I42" i="3" s="1"/>
  <c r="C40" i="3"/>
  <c r="C39" i="3"/>
  <c r="C38" i="3"/>
  <c r="C36" i="3"/>
  <c r="C34" i="3"/>
  <c r="C33" i="3"/>
  <c r="C32" i="3"/>
  <c r="C31" i="3"/>
  <c r="M29" i="3"/>
  <c r="C29" i="3"/>
  <c r="C27" i="3"/>
  <c r="C26" i="3"/>
  <c r="C25" i="3"/>
  <c r="C24" i="3"/>
  <c r="C22" i="3"/>
  <c r="C20" i="3"/>
  <c r="C19" i="3"/>
  <c r="C18" i="3"/>
  <c r="C17" i="3"/>
  <c r="F17" i="3" s="1"/>
  <c r="O15" i="3" s="1"/>
  <c r="C15" i="3"/>
  <c r="C13" i="3"/>
  <c r="C12" i="3"/>
  <c r="C11" i="3"/>
  <c r="C10" i="3"/>
  <c r="C9" i="3"/>
  <c r="C7" i="3"/>
  <c r="M45" i="2"/>
  <c r="C57" i="2"/>
  <c r="F57" i="2" s="1"/>
  <c r="C56" i="2"/>
  <c r="F56" i="2" s="1"/>
  <c r="C55" i="2"/>
  <c r="F55" i="2" s="1"/>
  <c r="C54" i="2"/>
  <c r="F54" i="2" s="1"/>
  <c r="C52" i="2"/>
  <c r="I52" i="2" s="1"/>
  <c r="C50" i="2"/>
  <c r="C49" i="2"/>
  <c r="C48" i="2"/>
  <c r="C47" i="2"/>
  <c r="C45" i="2"/>
  <c r="C43" i="2"/>
  <c r="F43" i="2" s="1"/>
  <c r="C42" i="2"/>
  <c r="F42" i="2" s="1"/>
  <c r="C41" i="2"/>
  <c r="F41" i="2" s="1"/>
  <c r="C40" i="2"/>
  <c r="F40" i="2" s="1"/>
  <c r="C39" i="2"/>
  <c r="F39" i="2" s="1"/>
  <c r="M37" i="2"/>
  <c r="C37" i="2"/>
  <c r="C35" i="2"/>
  <c r="F35" i="2" s="1"/>
  <c r="C34" i="2"/>
  <c r="F34" i="2" s="1"/>
  <c r="C33" i="2"/>
  <c r="C32" i="2"/>
  <c r="F32" i="2" s="1"/>
  <c r="M30" i="2"/>
  <c r="C30" i="2"/>
  <c r="I30" i="2" s="1"/>
  <c r="C28" i="2"/>
  <c r="C27" i="2"/>
  <c r="C25" i="2"/>
  <c r="C23" i="2"/>
  <c r="C22" i="2"/>
  <c r="C20" i="2"/>
  <c r="C19" i="2"/>
  <c r="M17" i="2"/>
  <c r="C17" i="2"/>
  <c r="C13" i="2"/>
  <c r="C12" i="2"/>
  <c r="C11" i="2"/>
  <c r="C10" i="2"/>
  <c r="C9" i="2"/>
  <c r="M7" i="2"/>
  <c r="C7" i="2"/>
  <c r="D15" i="1"/>
  <c r="D14" i="1"/>
  <c r="D13" i="1"/>
  <c r="D11" i="1"/>
  <c r="N22" i="3" l="1"/>
  <c r="F15" i="1"/>
  <c r="N15" i="3"/>
  <c r="N49" i="3"/>
  <c r="E12" i="1"/>
  <c r="O7" i="5"/>
  <c r="F12" i="1"/>
  <c r="H12" i="1"/>
  <c r="G12" i="1"/>
  <c r="O14" i="5"/>
  <c r="N14" i="5"/>
  <c r="N34" i="6"/>
  <c r="O41" i="6"/>
  <c r="O14" i="7"/>
  <c r="N37" i="2"/>
  <c r="O55" i="7"/>
  <c r="N35" i="5"/>
  <c r="O54" i="5"/>
  <c r="N54" i="5"/>
  <c r="H14" i="1"/>
  <c r="O21" i="7"/>
  <c r="N28" i="7"/>
  <c r="E10" i="1"/>
  <c r="H10" i="1"/>
  <c r="N7" i="3"/>
  <c r="O55" i="3"/>
  <c r="N55" i="3"/>
  <c r="H13" i="1"/>
  <c r="F13" i="1"/>
  <c r="G13" i="1"/>
  <c r="O47" i="6"/>
  <c r="O7" i="6"/>
  <c r="E13" i="1"/>
  <c r="N47" i="6"/>
  <c r="N7" i="6"/>
  <c r="O14" i="6"/>
  <c r="N21" i="6"/>
  <c r="O28" i="6"/>
  <c r="G14" i="1"/>
  <c r="N7" i="7"/>
  <c r="F14" i="1"/>
  <c r="E14" i="1"/>
  <c r="O35" i="7"/>
  <c r="N35" i="7"/>
  <c r="O49" i="7"/>
  <c r="N49" i="7"/>
  <c r="N29" i="3"/>
  <c r="O21" i="5"/>
  <c r="N21" i="5"/>
  <c r="N45" i="2"/>
  <c r="N49" i="4"/>
  <c r="H11" i="1"/>
  <c r="O7" i="4"/>
  <c r="G11" i="1"/>
  <c r="N7" i="4"/>
  <c r="F11" i="1"/>
  <c r="E11" i="1"/>
  <c r="O49" i="4"/>
  <c r="O14" i="4"/>
  <c r="O21" i="4"/>
  <c r="N30" i="2"/>
  <c r="N17" i="2"/>
  <c r="O28" i="4"/>
  <c r="O48" i="5"/>
  <c r="O28" i="7"/>
  <c r="O42" i="7"/>
  <c r="O42" i="3"/>
  <c r="N42" i="3"/>
  <c r="O49" i="3"/>
  <c r="N35" i="4"/>
  <c r="O42" i="4"/>
  <c r="N42" i="4"/>
  <c r="N14" i="6"/>
  <c r="G5" i="1"/>
  <c r="E9" i="1"/>
  <c r="G15" i="1"/>
  <c r="N36" i="3"/>
  <c r="N14" i="4"/>
  <c r="O35" i="4"/>
  <c r="O28" i="5"/>
  <c r="N28" i="5"/>
  <c r="O35" i="5"/>
  <c r="N42" i="5"/>
  <c r="F9" i="1"/>
  <c r="M28" i="6"/>
  <c r="M41" i="6"/>
  <c r="O7" i="7"/>
  <c r="N42" i="7"/>
  <c r="C5" i="1"/>
  <c r="G9" i="1"/>
  <c r="M42" i="3"/>
  <c r="M55" i="3"/>
  <c r="N28" i="4"/>
  <c r="M28" i="5"/>
  <c r="M54" i="5"/>
  <c r="N28" i="6"/>
  <c r="N41" i="6"/>
  <c r="N21" i="7"/>
  <c r="M22" i="3"/>
  <c r="M7" i="5"/>
  <c r="E5" i="1"/>
  <c r="H9" i="1"/>
  <c r="N60" i="2"/>
  <c r="F5" i="1"/>
  <c r="D10" i="1"/>
  <c r="M25" i="2"/>
  <c r="M52" i="2"/>
  <c r="O60" i="2"/>
  <c r="M21" i="4"/>
  <c r="N7" i="5"/>
  <c r="M42" i="5"/>
  <c r="M21" i="6"/>
  <c r="M34" i="6"/>
  <c r="N7" i="2"/>
  <c r="N25" i="2"/>
  <c r="N52" i="2"/>
  <c r="M36" i="3"/>
  <c r="N21" i="4"/>
  <c r="N14" i="7"/>
  <c r="H5" i="1"/>
  <c r="F10" i="1"/>
  <c r="D12" i="1"/>
  <c r="E15" i="1"/>
  <c r="M15" i="3"/>
  <c r="N62" i="3"/>
  <c r="O42" i="5"/>
  <c r="N61" i="5"/>
  <c r="O21" i="6"/>
  <c r="O34" i="6"/>
  <c r="M21" i="5"/>
  <c r="D9" i="1"/>
  <c r="G10" i="1"/>
  <c r="M7" i="3"/>
  <c r="M35" i="5"/>
  <c r="N5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<sst xmlns="http://schemas.openxmlformats.org/spreadsheetml/2006/main" count="1178" uniqueCount="419">
  <si>
    <t>HYLAND  —  Cuentas Médicas para Prestadores de Servicios</t>
  </si>
  <si>
    <t>Tracker de Epics · Implementación de Funcionalidades  |  2025</t>
  </si>
  <si>
    <t>Total Epics</t>
  </si>
  <si>
    <t>Subtareas</t>
  </si>
  <si>
    <t>Completadas</t>
  </si>
  <si>
    <t>En Progreso</t>
  </si>
  <si>
    <t>Bloqueadas</t>
  </si>
  <si>
    <t>Pendientes</t>
  </si>
  <si>
    <t>Etapa</t>
  </si>
  <si>
    <t>Epics</t>
  </si>
  <si>
    <t>% Avance</t>
  </si>
  <si>
    <t>Etapa 1 — Captura y Estructuración del Evento Clínico</t>
  </si>
  <si>
    <t>Etapa 2 — Validación Previa con Agente IA</t>
  </si>
  <si>
    <t>Etapa 3 — Armado y Envío de la Cuenta</t>
  </si>
  <si>
    <t>Etapa 4 — Recepción y Gestión de Glosas</t>
  </si>
  <si>
    <t>Etapa 5 — Respuesta y Apelación de Glosas</t>
  </si>
  <si>
    <t>Etapa 6 — Seguimiento de Pago, Conciliación y Cierre</t>
  </si>
  <si>
    <t>TOTAL GENERAL</t>
  </si>
  <si>
    <t>HYLAND  |  Cuentas Médicas — Prestadores de Servicios</t>
  </si>
  <si>
    <t>El proceso inicia con la atención al paciente. El prestador genera documentos heterogéneos: historia clínica, órdenes médicas, resultados de laboratorio, imágenes diagnósticas y registros de enfermería. Esta etapa consolida toda esa información en un expediente digital estructurado.</t>
  </si>
  <si>
    <t>☑</t>
  </si>
  <si>
    <t>✓</t>
  </si>
  <si>
    <t>Epic ID</t>
  </si>
  <si>
    <t>Nombre del Epic</t>
  </si>
  <si>
    <t>Descripción</t>
  </si>
  <si>
    <t>Módulo Hyland</t>
  </si>
  <si>
    <t>Prioridad</t>
  </si>
  <si>
    <t>Status</t>
  </si>
  <si>
    <t>Responsable</t>
  </si>
  <si>
    <t>Fecha Inicio</t>
  </si>
  <si>
    <t>Fecha Límite</t>
  </si>
  <si>
    <t>Comentarios / Bloqueantes</t>
  </si>
  <si>
    <t>E1-001</t>
  </si>
  <si>
    <t>Captura multicanal de documentos</t>
  </si>
  <si>
    <t>Ingesta automática desde escaner, email, portal web, sistemas HIS y fax digital</t>
  </si>
  <si>
    <t>IDP</t>
  </si>
  <si>
    <t>CRÍTICA</t>
  </si>
  <si>
    <t>Configurar la integraciones</t>
  </si>
  <si>
    <t>↳ Epic</t>
  </si>
  <si>
    <t>Subtarea</t>
  </si>
  <si>
    <t>Comentarios</t>
  </si>
  <si>
    <t>Configurar conector de email (IMAP/SMTP)</t>
  </si>
  <si>
    <t>Mauricio</t>
  </si>
  <si>
    <t>Configurar la integración con Outlook</t>
  </si>
  <si>
    <t>Configurar conector de escaner de red</t>
  </si>
  <si>
    <t>Completado</t>
  </si>
  <si>
    <t>Larissa</t>
  </si>
  <si>
    <t>Web Scanning pendiente, O incluir video en demo.</t>
  </si>
  <si>
    <t>Configurar upload Automate</t>
  </si>
  <si>
    <t>Fernando</t>
  </si>
  <si>
    <t>Interfaz de Custom UI.</t>
  </si>
  <si>
    <t>Configurar integración HIS (HL7/FHIR)</t>
  </si>
  <si>
    <t>N/A</t>
  </si>
  <si>
    <t>Fase 2</t>
  </si>
  <si>
    <t>Pruebas de ingesta multicanal (Whatsapp)</t>
  </si>
  <si>
    <t>Whatsapp</t>
  </si>
  <si>
    <t>Pruebas de ingesta multicanal (Sharepoint )</t>
  </si>
  <si>
    <t xml:space="preserve">Sharepoint if possible - Fase 2 </t>
  </si>
  <si>
    <t xml:space="preserve">Integracción de los CUPS </t>
  </si>
  <si>
    <t>Fase 1 - Importar JSON para simular una integracción via API
Fase 2 - Integración via trigger donde el proceso empeza desde postman</t>
  </si>
  <si>
    <t>E1-002</t>
  </si>
  <si>
    <t>Clasificación automática de documentos</t>
  </si>
  <si>
    <t>Identifica el tipo de documento sin configuración manual</t>
  </si>
  <si>
    <t>Ya se implemento una primera version de IDP basada en POC de ARS primera Faltaria definir Documentos finales para la demostración.</t>
  </si>
  <si>
    <t>Definir taxonomía de tipos de documento para la demo</t>
  </si>
  <si>
    <t>Tener muestrasd documentales para la demostración, ya hay muestras de ARS primera  pero hay que terminar de acotar y recolectar muestras.</t>
  </si>
  <si>
    <t>Entrenar modelo de clasificación IDP</t>
  </si>
  <si>
    <t>Sub Clasificaciónde clases heredadas</t>
  </si>
  <si>
    <t>Validar precisión (umbral ≥ 90%) Prueba de ejecución con lote de demo</t>
  </si>
  <si>
    <t>Configurar reglas de excepción</t>
  </si>
  <si>
    <t>E1-003</t>
  </si>
  <si>
    <t>Extracción de campos clave</t>
  </si>
  <si>
    <t>Extrae diagnósticos CIE-10, procedimientos CUPS, medicamentos, fechas y valores</t>
  </si>
  <si>
    <t>Mapear campos requeridos por aseguradora</t>
  </si>
  <si>
    <t>Configurar extracción de valores y fechas</t>
  </si>
  <si>
    <t>E1-004</t>
  </si>
  <si>
    <t>Enriquecimiento de imágenes médicas</t>
  </si>
  <si>
    <t>Indexa RX, ecografías y fotografías con metadatos clínicos</t>
  </si>
  <si>
    <t>Knowledge Enrichment</t>
  </si>
  <si>
    <t>Configurar pipeline de Knowledge Enrichment</t>
  </si>
  <si>
    <t>Mau /Lari</t>
  </si>
  <si>
    <t>Definir metadatos clínicos a indexar</t>
  </si>
  <si>
    <t>Integrar con Nilread si aplica</t>
  </si>
  <si>
    <t>Fase 2: Agregar interfaz de Nilread</t>
  </si>
  <si>
    <t>Validar búsqueda semántica de imágenes</t>
  </si>
  <si>
    <t>a definir</t>
  </si>
  <si>
    <t>Crear agente de KD para búsqueda de imagenes.</t>
  </si>
  <si>
    <t>E1-005</t>
  </si>
  <si>
    <t>Creación del expediente unificado</t>
  </si>
  <si>
    <t>Consolida todos los documentos del evento en un expediente único en el ECM</t>
  </si>
  <si>
    <t>ECM / CIC</t>
  </si>
  <si>
    <t>Se Inicio con la construcción de la UI de Cuenta medica, falta estructura de carpetas interna de Automate por paciente</t>
  </si>
  <si>
    <t>Diseñar modelo de objeto del expediente en CIC</t>
  </si>
  <si>
    <t>Configurar vinculación automática por ID de paciente</t>
  </si>
  <si>
    <t>Definir reglas de agrupación de documentos Crear Content Types y Schemas</t>
  </si>
  <si>
    <t>Pruebas de creación de expediente end-to-end</t>
  </si>
  <si>
    <t>Validación de acceso por roles</t>
  </si>
  <si>
    <t>E1-006</t>
  </si>
  <si>
    <t>Validación de completitud documental</t>
  </si>
  <si>
    <t>Verifica que el expediente tenga todos los documentos requeridos antes de avanzar</t>
  </si>
  <si>
    <t>Agent / Automate</t>
  </si>
  <si>
    <t>MEDIA</t>
  </si>
  <si>
    <t>En una primera version la UI de Cuenta medica, esta haciendo las veces de Checklist Documental, esta es una tarea de uuario y se presenta en el form de Cuenta Medica, ligado al Widget instake-account.</t>
  </si>
  <si>
    <t>Definir checklist de documentos requeridos por tipo de evento</t>
  </si>
  <si>
    <t>Configurar regla de validación en Automate</t>
  </si>
  <si>
    <t>Configurar notificación de documentos faltantes</t>
  </si>
  <si>
    <t>Pruebas de flujo de excepción</t>
  </si>
  <si>
    <t>En Revisión</t>
  </si>
  <si>
    <t>E1-007</t>
  </si>
  <si>
    <t>Integración con sistemas HIS</t>
  </si>
  <si>
    <t>Sincronización bidireccional con sistemas clínicos del prestador</t>
  </si>
  <si>
    <t>ECM / Automate</t>
  </si>
  <si>
    <t>Relevamiento de APIs disponibles en HIS del cliente</t>
  </si>
  <si>
    <t>Desarrollar conector de integración</t>
  </si>
  <si>
    <t>Pruebas de sincronización bidireccional</t>
  </si>
  <si>
    <t>Validación en entorno de producción</t>
  </si>
  <si>
    <t>Resumen de Etapa</t>
  </si>
  <si>
    <t>Antes de armar y enviar la cuenta a la aseguradora, un Agente IA analiza el expediente completo en busca de inconsistencias internas: procedimientos sin diagnóstico de respaldo, códigos incorrectos, documentos faltantes o montos fuera del rango tarifario del convenio.</t>
  </si>
  <si>
    <t>E2-001</t>
  </si>
  <si>
    <t>Análisis de consistencia clínico-administrativa</t>
  </si>
  <si>
    <t>El agente verifica que cada procedimiento facturado tenga diagnóstico de respaldo válido</t>
  </si>
  <si>
    <t>Agente IA</t>
  </si>
  <si>
    <t xml:space="preserve">Avanzo la configuración de automate y agent builder creando 3 agentes paralelos, están funcionando parcialmente por errores de agent builder. </t>
  </si>
  <si>
    <t>Mapear reglas de consistencia por aseguradora</t>
  </si>
  <si>
    <t>Configurar Agent Builder con reglas de negocio</t>
  </si>
  <si>
    <t>Definir umbral de riesgo de glosa (%)</t>
  </si>
  <si>
    <t>Pruebas con casos históricos del cliente</t>
  </si>
  <si>
    <t>Validación con equipo auditor</t>
  </si>
  <si>
    <t>E2-002</t>
  </si>
  <si>
    <t>Detección de códigos CUPS incorrectos</t>
  </si>
  <si>
    <t>Identifica códigos de procedimiento que no corresponden al diagnóstico</t>
  </si>
  <si>
    <t>Agente IA + IDP</t>
  </si>
  <si>
    <t>Cargar tabla vigente de códigos CUPS</t>
  </si>
  <si>
    <t>Configurar validación de correspondencia CIE-10/CUPS</t>
  </si>
  <si>
    <t>Esto lo hace el agente directamente en una simulación</t>
  </si>
  <si>
    <t>Definir acción para códigos no encontrados</t>
  </si>
  <si>
    <t>Pruebas de detección con errores conocidos</t>
  </si>
  <si>
    <t>E2-003</t>
  </si>
  <si>
    <t>Verificación de autorizaciones previas</t>
  </si>
  <si>
    <t>Cruza los procedimientos realizados contra las autorizaciones previas registradas</t>
  </si>
  <si>
    <t>Agente IA + ECM</t>
  </si>
  <si>
    <t>Definir modelo de dato de autorización previa</t>
  </si>
  <si>
    <t>Configurar búsqueda de autorizaciones en ECM</t>
  </si>
  <si>
    <t>Configurar regla de alerta por procedimiento sin autorización</t>
  </si>
  <si>
    <t>Pruebas con casos con y sin autorización</t>
  </si>
  <si>
    <t>E2-004</t>
  </si>
  <si>
    <t>Comparación con tarifas del convenio</t>
  </si>
  <si>
    <t>Valida que los montos facturados estén dentro del rango tarifario pactado</t>
  </si>
  <si>
    <t>Agente IA + KD</t>
  </si>
  <si>
    <t>Cargar tarifarios por aseguradora</t>
  </si>
  <si>
    <t>Configurar comparación de montos por procedimiento</t>
  </si>
  <si>
    <t>Definir tolerancia de variación permitida</t>
  </si>
  <si>
    <t>Pruebas con cuentas de diferente aseguradora</t>
  </si>
  <si>
    <t xml:space="preserve">Solo tenemos la cuenta de </t>
  </si>
  <si>
    <t>E2-005</t>
  </si>
  <si>
    <t>Informe de pre-validación con sugerencias</t>
  </si>
  <si>
    <t>Genera un reporte con los hallazgos, nivel de riesgo y acciones de corrección</t>
  </si>
  <si>
    <t>Se avanzo en una primera version de la UI Custom, esta en localhost.</t>
  </si>
  <si>
    <t>Diseñar template del informe de pre-validación</t>
  </si>
  <si>
    <t>Configurar generación automática del reporte</t>
  </si>
  <si>
    <t>Se genera unn widget para el formulario de analisis donde se ve el reporte de las Ias</t>
  </si>
  <si>
    <t>Definir niveles de severidad de hallazgos</t>
  </si>
  <si>
    <t>E2-006</t>
  </si>
  <si>
    <t>Aprendizaje de patrones históricos de glosa</t>
  </si>
  <si>
    <t>El agente consulta el historial de glosas para anticipar objeciones recurrentes</t>
  </si>
  <si>
    <t>Knowledge Discovery</t>
  </si>
  <si>
    <t>Cargar histórico de glosas del cliente (mínimo 12 meses)</t>
  </si>
  <si>
    <t>Configurar indexación de patrones por aseguradora y código</t>
  </si>
  <si>
    <t>Validar consulta de precedentes desde el agente</t>
  </si>
  <si>
    <t>Medir mejora de precisión con datos históricos</t>
  </si>
  <si>
    <t>E2-007</t>
  </si>
  <si>
    <t>Detección de documentos faltantes</t>
  </si>
  <si>
    <t>Identifica si faltan documentos de soporte que la aseguradora habitualmente exige</t>
  </si>
  <si>
    <t>No esta integrado KD, Agent builder si esta validando completitud y esta presentando en CustomUI</t>
  </si>
  <si>
    <t>Mapear documentos requeridos por tipo de evento y aseguradora</t>
  </si>
  <si>
    <t>Configurar checklist dinámico en el agente</t>
  </si>
  <si>
    <t>Pruebas de detección de faltantes</t>
  </si>
  <si>
    <t>E2-008</t>
  </si>
  <si>
    <t>Flujo de corrección para el equipo de facturación</t>
  </si>
  <si>
    <t>Los hallazgos se convierten en tareas asignables al equipo antes de que la cuenta salga</t>
  </si>
  <si>
    <t>Automate + Case Mgmt</t>
  </si>
  <si>
    <t>Estamos pensando en trigger para Whatsapp.</t>
  </si>
  <si>
    <t>Configurar creación automática de tareas en Automate</t>
  </si>
  <si>
    <t>Definir asignación por tipo de hallazgo</t>
  </si>
  <si>
    <t>Configurar notificaciones al equipo</t>
  </si>
  <si>
    <t>Pruebas de flujo de corrección completo</t>
  </si>
  <si>
    <t>Con el expediente validado, el sistema arma el paquete de envío en el formato exigido por cada aseguradora y lo envía de forma trazable. El prestador puede manejar múltiples aseguradoras con formatos distintos desde una única plataforma.</t>
  </si>
  <si>
    <t>E3-001</t>
  </si>
  <si>
    <t>Generación de RIPS automática</t>
  </si>
  <si>
    <t>Arma el archivo RIPS en el formato requerido a partir del expediente estructurado</t>
  </si>
  <si>
    <t>Automate + ECM</t>
  </si>
  <si>
    <t>Mapear campos del expediente al estándar RIPS</t>
  </si>
  <si>
    <t>Configurar generación de archivo RIPS en Automate</t>
  </si>
  <si>
    <t>Validar RIPS con validador oficial</t>
  </si>
  <si>
    <t>Pruebas con múltiples tipos de evento</t>
  </si>
  <si>
    <t>E3-002</t>
  </si>
  <si>
    <t>Soporte multi-formato de envío</t>
  </si>
  <si>
    <t>Adapta el paquete a XML FHIR, EDI, RIPS o formato propietario según el convenio</t>
  </si>
  <si>
    <t>Automate</t>
  </si>
  <si>
    <t>Catalogar formatos requeridos por cada aseguradora</t>
  </si>
  <si>
    <t>Configurar transformadores de formato en Automate</t>
  </si>
  <si>
    <t>Pruebas de generación por formato</t>
  </si>
  <si>
    <t>Validación con aseguradoras del cliente</t>
  </si>
  <si>
    <t>E3-003</t>
  </si>
  <si>
    <t>Registro de trazabilidad de envío</t>
  </si>
  <si>
    <t>Guarda fecha, hora, canal, destinatario y número de radicado como evidencia legal</t>
  </si>
  <si>
    <t>ECM</t>
  </si>
  <si>
    <t>Definir campos de metadatos de trazabilidad</t>
  </si>
  <si>
    <t>Configurar escritura automática de log en ECM</t>
  </si>
  <si>
    <t>Validar inmutabilidad del registro</t>
  </si>
  <si>
    <t>Pruebas de auditoría</t>
  </si>
  <si>
    <t>E3-004</t>
  </si>
  <si>
    <t>Gestión de portales de aseguradoras</t>
  </si>
  <si>
    <t>Automatiza el logín y subida de documentos a portales web sin API mediante RPA</t>
  </si>
  <si>
    <t>Automate (RPA)</t>
  </si>
  <si>
    <t>Inventariar portales de aseguradoras del cliente</t>
  </si>
  <si>
    <t>Desarrollar bots RPA por portal</t>
  </si>
  <si>
    <t>Pruebas de estabilidad de bots</t>
  </si>
  <si>
    <t>Definir mantenimiento ante cambios de interfaz</t>
  </si>
  <si>
    <t>E3-005</t>
  </si>
  <si>
    <t>Panel de seguimiento de envíos</t>
  </si>
  <si>
    <t>Dashboard con estado de todas las cuentas enviadas</t>
  </si>
  <si>
    <t>Definir KPIs del panel con el cliente</t>
  </si>
  <si>
    <t>Configurar vistas en ECM/CIC</t>
  </si>
  <si>
    <t>Pruebas de actualización en tiempo real</t>
  </si>
  <si>
    <t>Capacitación al equipo de facturación</t>
  </si>
  <si>
    <t>E3-006</t>
  </si>
  <si>
    <t>Gestión de reenvíos por rechazo técnico</t>
  </si>
  <si>
    <t>Si la aseguradora rechaza el envío, el sistema corrige y reenvía automáticamente</t>
  </si>
  <si>
    <t>Mapear tipos de rechazo técnico por aseguradora</t>
  </si>
  <si>
    <t>Configurar lógica de autocorrección en Automate</t>
  </si>
  <si>
    <t>Definir límite de reintentos y escalación</t>
  </si>
  <si>
    <t>Pruebas de escenarios de rechazo</t>
  </si>
  <si>
    <t>La aseguradora devuelve la cuenta con glosas parciales o totales. El sistema las recibe, las vincula al expediente y abre un caso de gestión. El equipo cuenta con inteligencia histórica para decidir si aceptar o apelar.</t>
  </si>
  <si>
    <t>E4-001</t>
  </si>
  <si>
    <t>Recepción automática de respuestas de glosa</t>
  </si>
  <si>
    <t>Captura la respuesta de la aseguradora y la vincula al expediente original</t>
  </si>
  <si>
    <t>IDP + Automate</t>
  </si>
  <si>
    <t>Configurar captura de glosas por email</t>
  </si>
  <si>
    <t>Configurar captura de glosas por portal</t>
  </si>
  <si>
    <t>Configurar captura por EDI</t>
  </si>
  <si>
    <t>Validar vinculación automática al expediente</t>
  </si>
  <si>
    <t>E4-002</t>
  </si>
  <si>
    <t>Apertura automática de caso de glosa</t>
  </si>
  <si>
    <t>Cada glosa genera un caso en Case Management asignado al auditor responsable</t>
  </si>
  <si>
    <t>Case Management</t>
  </si>
  <si>
    <t>Configurar template de caso de glosa</t>
  </si>
  <si>
    <t>Definir reglas de asignación automática</t>
  </si>
  <si>
    <t>Configurar notificación al auditor responsable</t>
  </si>
  <si>
    <t>Pruebas de apertura automática end-to-end</t>
  </si>
  <si>
    <t>E4-003</t>
  </si>
  <si>
    <t>Análisis de recurrencia con Knowledge Discovery</t>
  </si>
  <si>
    <t>Muestra si la misma glosa se ha recibido antes y cuál fue el resultado al apelar</t>
  </si>
  <si>
    <t>Configurar indexación de glosas por código y aseguradora</t>
  </si>
  <si>
    <t>Configurar panel de recurrencia en el caso</t>
  </si>
  <si>
    <t>Calcular tasa histórica de éxito en apelación</t>
  </si>
  <si>
    <t>Validar con auditor de referencia del cliente</t>
  </si>
  <si>
    <t>E4-004</t>
  </si>
  <si>
    <t>Dashboard de glosas por aseguradora y código</t>
  </si>
  <si>
    <t>Visualización agregada de glosas por aseguradora, tipo y valor objetado</t>
  </si>
  <si>
    <t>Definir dimensiones de análisis con el cliente</t>
  </si>
  <si>
    <t>Configurar dashboard en ECM/CIC</t>
  </si>
  <si>
    <t>Configurar actualización automática</t>
  </si>
  <si>
    <t>Capacitación a gerencia de facturación</t>
  </si>
  <si>
    <t>E4-005</t>
  </si>
  <si>
    <t>Alertas de vencimiento de plazo de respuesta</t>
  </si>
  <si>
    <t>Notificaciones automáticas cuando se acerca el plazo legal para responder</t>
  </si>
  <si>
    <t>Mapear plazos legales por aseguradora y país</t>
  </si>
  <si>
    <t>Configurar cálculo de fecha límite en Automate</t>
  </si>
  <si>
    <t>Configurar alertas T-5, T-2 y T-0 días</t>
  </si>
  <si>
    <t>Pruebas de escalación ante inacción</t>
  </si>
  <si>
    <t>E4-006</t>
  </si>
  <si>
    <t>Clasificación de glosas por tipo</t>
  </si>
  <si>
    <t>Categoriza automáticamente la glosa: técnica, administrativa, documental o de cobertura</t>
  </si>
  <si>
    <t>Definir taxonomía de tipos de glosa</t>
  </si>
  <si>
    <t>Configurar clasificador en el agente IA</t>
  </si>
  <si>
    <t>Pruebas de precisión de clasificación</t>
  </si>
  <si>
    <t>E4-007</t>
  </si>
  <si>
    <t>Cálculo de impacto financiero en tiempo real</t>
  </si>
  <si>
    <t>Calcula el monto total objetado, en apelación y la proyección de recupero</t>
  </si>
  <si>
    <t>Definir fórmulas de proyección de recupero</t>
  </si>
  <si>
    <t>Configurar métricas financieras en ECM/CIC</t>
  </si>
  <si>
    <t>E4-008</t>
  </si>
  <si>
    <t>Integración con sistema contable del prestador</t>
  </si>
  <si>
    <t>Sincroniza el estado de las glosas con las cuentas por cobrar del prestador</t>
  </si>
  <si>
    <t>Automate + Integraciones</t>
  </si>
  <si>
    <t>Relevamiento de API del ERP del cliente</t>
  </si>
  <si>
    <t>Desarrollar conector de sincronización</t>
  </si>
  <si>
    <t>Pruebas de consistencia contable</t>
  </si>
  <si>
    <t>Validación con equipo financiero del cliente</t>
  </si>
  <si>
    <t>El prestador decide apelar la glosa. El Agente IA ayuda a construir el argumento de respuesta, identificando documentos de soporte relevantes y sugiriendo el texto de justificación basado en casos similares resueltos exitosamente.</t>
  </si>
  <si>
    <t>E5-001</t>
  </si>
  <si>
    <t>Asistencia del Agente IA para construir la apelación</t>
  </si>
  <si>
    <t>El agente identifica documentos, sugiere el argumento y redacta el borrador de respuesta</t>
  </si>
  <si>
    <t>Configurar recuperación de documentos relevantes del expediente</t>
  </si>
  <si>
    <t>Configurar generación de borrador de apelación</t>
  </si>
  <si>
    <t>Integrar precedentes exitosos del KD al borrador</t>
  </si>
  <si>
    <t>Validación con auditor senior del cliente</t>
  </si>
  <si>
    <t>E5-002</t>
  </si>
  <si>
    <t>Búsqueda de precedentes exitosos</t>
  </si>
  <si>
    <t>Recupera casos similares donde la apelación fue aceptada con los argumentos que funcionaron</t>
  </si>
  <si>
    <t>Configurar indexación de apelaciones resueltas</t>
  </si>
  <si>
    <t>Definir criterios de similitud para recuperación</t>
  </si>
  <si>
    <t>Configurar ranking por tasa de éxito</t>
  </si>
  <si>
    <t>Pruebas de relevancia de resultados</t>
  </si>
  <si>
    <t>E5-003</t>
  </si>
  <si>
    <t>Gestión del flujo de aprobación interna</t>
  </si>
  <si>
    <t>La respuesta pasa por revisión y aprobación antes del envío, con firma electrónica</t>
  </si>
  <si>
    <t>Diseñar flujo de aprobación multinivel</t>
  </si>
  <si>
    <t>Configurar workflow en Automate</t>
  </si>
  <si>
    <t>Integrar firma electrónica si aplica</t>
  </si>
  <si>
    <t>Pruebas de flujo completo de aprobación</t>
  </si>
  <si>
    <t>E5-004</t>
  </si>
  <si>
    <t>Envío trazable de la apelación</t>
  </si>
  <si>
    <t>El envío queda registrado con fecha, hora y acuse de recibo en el expediente</t>
  </si>
  <si>
    <t>Configurar envío automático con registro en ECM</t>
  </si>
  <si>
    <t>Configurar captura del acuse de recibo</t>
  </si>
  <si>
    <t>Validar inmutabilidad del registro de envío</t>
  </si>
  <si>
    <t>E5-005</t>
  </si>
  <si>
    <t>Seguimiento del estado de la apelación</t>
  </si>
  <si>
    <t>Panel con estado de cada apelación: pendiente, aceptada, rechazada, en conciliación</t>
  </si>
  <si>
    <t>Configurar estados del caso de apelación</t>
  </si>
  <si>
    <t>Configurar panel de seguimiento</t>
  </si>
  <si>
    <t>Configurar alertas de cambio de estado</t>
  </si>
  <si>
    <t>Capacitación al equipo auditor</t>
  </si>
  <si>
    <t>E5-006</t>
  </si>
  <si>
    <t>Enriquecimiento de la base de conocimiento</t>
  </si>
  <si>
    <t>Cada glosa resuelta alimenta automáticamente el Knowledge Discovery</t>
  </si>
  <si>
    <t>Configurar pipeline de retroalimentación al KD</t>
  </si>
  <si>
    <t>Definir metadatos de resultado a capturar</t>
  </si>
  <si>
    <t>Validar actualización de tasa de éxito</t>
  </si>
  <si>
    <t>La aseguradora emite el pago. El sistema reconcilia el valor recibido contra la cuenta original y los acuerdos de glosa, cierra el expediente con trazabilidad completa y alimenta la inteligencia para futuros procesos.</t>
  </si>
  <si>
    <t>E6-001</t>
  </si>
  <si>
    <t>Conciliación automática de pagos</t>
  </si>
  <si>
    <t>Cruza el valor pagado contra la cuenta original y los acuerdos de glosa</t>
  </si>
  <si>
    <t>Definir reglas de conciliación por tipo de acuerdo</t>
  </si>
  <si>
    <t>Configurar proceso de conciliación en Automate</t>
  </si>
  <si>
    <t>Configurar alerta por diferencias no esperadas</t>
  </si>
  <si>
    <t>Pruebas con escenarios de pago parcial</t>
  </si>
  <si>
    <t>E6-002</t>
  </si>
  <si>
    <t>Cierre del expediente con trazabilidad completa</t>
  </si>
  <si>
    <t>El expediente queda cerrado con el historial completo: facturación, glosas, apelaciones, pago</t>
  </si>
  <si>
    <t>Definir checklist de cierre del expediente</t>
  </si>
  <si>
    <t>Configurar sellado del expediente al cierre</t>
  </si>
  <si>
    <t>Validar trazabilidad completa del timeline</t>
  </si>
  <si>
    <t>Pruebas de acceso post-cierre (solo lectura)</t>
  </si>
  <si>
    <t>E6-003</t>
  </si>
  <si>
    <t>Dashboard financiero de recupero</t>
  </si>
  <si>
    <t>Muestra por aseguradora: valor facturado, glosado, recuperado y perdido definitivamente</t>
  </si>
  <si>
    <t>Definir métricas de recupero con el cliente</t>
  </si>
  <si>
    <t>Configurar dashboard financiero en ECM/CIC</t>
  </si>
  <si>
    <t>Configurar exportación a Excel/PDF</t>
  </si>
  <si>
    <t>Capacitación a dirección financiera</t>
  </si>
  <si>
    <t>E6-004</t>
  </si>
  <si>
    <t>Integración con ERP y cuentas por cobrar</t>
  </si>
  <si>
    <t>El cierre del expediente actualiza automáticamente el sistema contable del prestador</t>
  </si>
  <si>
    <t>Mapear eventos de cierre a acciones en ERP</t>
  </si>
  <si>
    <t>Desarrollar conector de integración ERP</t>
  </si>
  <si>
    <t>Pruebas de consistencia contable end-to-end</t>
  </si>
  <si>
    <t>Validación con auditoría financiera del cliente</t>
  </si>
  <si>
    <t>E6-005</t>
  </si>
  <si>
    <t>Métricas de ciclo de cuentas médicas</t>
  </si>
  <si>
    <t>Tiempo promedio de pago, tasa de glosas, tasa de éxito en apelación, valor en riesgo</t>
  </si>
  <si>
    <t>Definir KPIs del ciclo con el cliente</t>
  </si>
  <si>
    <t>Configurar cálculo automático de métricas</t>
  </si>
  <si>
    <t>Configurar reporte periódico automatizado</t>
  </si>
  <si>
    <t>Validar con gerencia de facturación</t>
  </si>
  <si>
    <t>E6-006</t>
  </si>
  <si>
    <t>Retención documental y cumplimiento normativo</t>
  </si>
  <si>
    <t>Gestión de retención según normativa vigente con pistas de auditoría inmutables</t>
  </si>
  <si>
    <t>Mapear normativa de retención por país (CO/MX/PE)</t>
  </si>
  <si>
    <t>Configurar políticas de retención en ECM</t>
  </si>
  <si>
    <t>Configurar pistas de auditoría inmutables</t>
  </si>
  <si>
    <t>Pruebas de cumplimiento normativo</t>
  </si>
  <si>
    <t>E6-007</t>
  </si>
  <si>
    <t>Enriquecimiento del modelo predictivo de glosas</t>
  </si>
  <si>
    <t>Las métricas del ciclo cerrado retroalimentan el agente IA para mejorar la validación previa</t>
  </si>
  <si>
    <t>KD + Agente IA</t>
  </si>
  <si>
    <t>Configurar pipeline de retroalimentación KD → Agente IA</t>
  </si>
  <si>
    <t>Medir mejora de precisión ciclo a ciclo</t>
  </si>
  <si>
    <t>Documentar impacto en reducción de glosas</t>
  </si>
  <si>
    <t>HYLAND  |  Instrucciones de Uso del Epic Tracker</t>
  </si>
  <si>
    <t>Estructura del archivo</t>
  </si>
  <si>
    <t>📊 Dashboard</t>
  </si>
  <si>
    <t>Vista consolidada: KPIs globales + tabla de progreso por etapa. Las fórmulas se actualizan automáticamente al cambiar status o agregar/eliminar subtareas.</t>
  </si>
  <si>
    <t>E1 – E6</t>
  </si>
  <si>
    <t>Una hoja por etapa. Cada etapa contiene sus Epics (funcionalidades) y las Subtareas que deben completarse para considerar el Epic terminado.</t>
  </si>
  <si>
    <t>Cómo usar el checkbox</t>
  </si>
  <si>
    <t>Marcar como completada</t>
  </si>
  <si>
    <t>Haga clic en el checkbox ☑ en la columna B. Esto activa la celda oculta en col C (TRUE) y la fórmula de Status cambia automáticamente a 'Completado'.</t>
  </si>
  <si>
    <t>Desmarcar</t>
  </si>
  <si>
    <t>Haga clic nuevamente en el checkbox para deseleccionarlo. El Status vuelve a 'Pendiente' automáticamente.</t>
  </si>
  <si>
    <t>Status manual</t>
  </si>
  <si>
    <t>El campo Status también acepta valores del menú desplegable (Pendiente, En Progreso, En Revisión, Completado, Bloqueado) para casos donde el checkbox no sea suficiente.</t>
  </si>
  <si>
    <t>Fórmulas dinámicas de % Avance</t>
  </si>
  <si>
    <t>Por Epic</t>
  </si>
  <si>
    <t>Completadas dividido entre COUNTA(nombres de subtareas). Al agregar una subtarea nueva en la zona de buffer, el conteo se actualiza solo.</t>
  </si>
  <si>
    <t>Por Etapa</t>
  </si>
  <si>
    <t>Igual que por Epic, pero sobre todo el rango F7:F{last_row} de la hoja.</t>
  </si>
  <si>
    <t>En Dashboard</t>
  </si>
  <si>
    <t>Todas las fórmulas del Dashboard referencian los rangos de las hojas de etapa. Se actualizan sin intervención.</t>
  </si>
  <si>
    <t>Agregar subtareas</t>
  </si>
  <si>
    <t>Insertar filas dentro del rango de subtareas del Epic (entre la primera y última subtarea existente) para que las fórmulas las incluyan automáticamente.</t>
  </si>
  <si>
    <t>Campos editables</t>
  </si>
  <si>
    <t>Status (Epic/Subtarea)</t>
  </si>
  <si>
    <t>Dropdown: Pendiente / En Progreso / En Revisión / Completado / Bloqueado</t>
  </si>
  <si>
    <t>Nombre o siglas del responsable</t>
  </si>
  <si>
    <t>Fecha Inicio / Fecha Límite</t>
  </si>
  <si>
    <t>Formato DD/MM/AAAA</t>
  </si>
  <si>
    <t>Notas de avance, bloqueantes o decisiones</t>
  </si>
  <si>
    <t>Leyenda de Status</t>
  </si>
  <si>
    <t>Pendiente</t>
  </si>
  <si>
    <t>Identificado, no iniciado</t>
  </si>
  <si>
    <t>Activamente en desarrollo</t>
  </si>
  <si>
    <t>En validación con cliente o equipo técnico</t>
  </si>
  <si>
    <t>Finalizado y validado</t>
  </si>
  <si>
    <t>Bloqueado</t>
  </si>
  <si>
    <t>Detenido por dependencia o problema técnico</t>
  </si>
  <si>
    <t>Confidencial — Uso interno Hyland  |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</si>
</sst>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Calibri"/>
      <family val="2"/>
      <charset val="1"/>
    </font>
    <font>
      <b/>
      <sz val="18"/>
      <color rgb="FFFFFFFF"/>
      <name val="Arial Nova"/>
      <charset val="1"/>
    </font>
    <font>
      <i/>
      <sz val="10"/>
      <color rgb="FFA0AACF"/>
      <name val="Source Sans Pro"/>
      <charset val="1"/>
    </font>
    <font>
      <b/>
      <sz val="26"/>
      <color rgb="FF191F5E"/>
      <name val="Arial Nova"/>
      <charset val="1"/>
    </font>
    <font>
      <b/>
      <sz val="26"/>
      <color rgb="FF4200E5"/>
      <name val="Arial Nova"/>
      <charset val="1"/>
    </font>
    <font>
      <b/>
      <sz val="26"/>
      <color rgb="FF27500A"/>
      <name val="Arial Nova"/>
      <charset val="1"/>
    </font>
    <font>
      <b/>
      <sz val="26"/>
      <color rgb="FF004DA9"/>
      <name val="Arial Nova"/>
      <charset val="1"/>
    </font>
    <font>
      <b/>
      <sz val="26"/>
      <color rgb="FFA32D2D"/>
      <name val="Arial Nova"/>
      <charset val="1"/>
    </font>
    <font>
      <b/>
      <sz val="26"/>
      <color rgb="FF444441"/>
      <name val="Arial Nova"/>
      <charset val="1"/>
    </font>
    <font>
      <b/>
      <sz val="9"/>
      <color rgb="FF191F5E"/>
      <name val="Source Sans Pro"/>
      <charset val="1"/>
    </font>
    <font>
      <b/>
      <sz val="9"/>
      <color rgb="FF4200E5"/>
      <name val="Source Sans Pro"/>
      <charset val="1"/>
    </font>
    <font>
      <b/>
      <sz val="9"/>
      <color rgb="FF27500A"/>
      <name val="Source Sans Pro"/>
      <charset val="1"/>
    </font>
    <font>
      <b/>
      <sz val="9"/>
      <color rgb="FF004DA9"/>
      <name val="Source Sans Pro"/>
      <charset val="1"/>
    </font>
    <font>
      <b/>
      <sz val="9"/>
      <color rgb="FFA32D2D"/>
      <name val="Source Sans Pro"/>
      <charset val="1"/>
    </font>
    <font>
      <b/>
      <sz val="9"/>
      <color rgb="FF444441"/>
      <name val="Source Sans Pro"/>
      <charset val="1"/>
    </font>
    <font>
      <b/>
      <sz val="10"/>
      <color rgb="FFFFFFFF"/>
      <name val="Arial Nova"/>
      <charset val="1"/>
    </font>
    <font>
      <b/>
      <sz val="10"/>
      <color rgb="FF097560"/>
      <name val="Source Sans Pro"/>
      <charset val="1"/>
    </font>
    <font>
      <b/>
      <sz val="11"/>
      <color rgb="FF191F5E"/>
      <name val="Arial Nova"/>
      <charset val="1"/>
    </font>
    <font>
      <b/>
      <sz val="11"/>
      <color rgb="FF27500A"/>
      <name val="Arial Nova"/>
      <charset val="1"/>
    </font>
    <font>
      <b/>
      <sz val="11"/>
      <color rgb="FF004DA9"/>
      <name val="Arial Nova"/>
      <charset val="1"/>
    </font>
    <font>
      <b/>
      <sz val="11"/>
      <color rgb="FFA32D2D"/>
      <name val="Arial Nova"/>
      <charset val="1"/>
    </font>
    <font>
      <b/>
      <sz val="11"/>
      <color rgb="FF097560"/>
      <name val="Arial Nova"/>
      <charset val="1"/>
    </font>
    <font>
      <b/>
      <sz val="10"/>
      <color rgb="FF4200E5"/>
      <name val="Source Sans Pro"/>
      <charset val="1"/>
    </font>
    <font>
      <b/>
      <sz val="11"/>
      <color rgb="FF4200E5"/>
      <name val="Arial Nova"/>
      <charset val="1"/>
    </font>
    <font>
      <b/>
      <sz val="10"/>
      <color rgb="FF004DA9"/>
      <name val="Source Sans Pro"/>
      <charset val="1"/>
    </font>
    <font>
      <b/>
      <sz val="11"/>
      <color rgb="FFFFFFFF"/>
      <name val="Arial Nova"/>
      <charset val="1"/>
    </font>
    <font>
      <b/>
      <sz val="15"/>
      <color rgb="FFFFFFFF"/>
      <name val="Arial Nova"/>
      <charset val="1"/>
    </font>
    <font>
      <i/>
      <sz val="9"/>
      <color rgb="FF444441"/>
      <name val="Source Sans Pro"/>
      <charset val="1"/>
    </font>
    <font>
      <b/>
      <sz val="9"/>
      <color rgb="FFFFFFFF"/>
      <name val="Arial Nova"/>
      <charset val="1"/>
    </font>
    <font>
      <b/>
      <sz val="9"/>
      <color rgb="FF097560"/>
      <name val="Arial Nova"/>
      <charset val="1"/>
    </font>
    <font>
      <b/>
      <sz val="10"/>
      <color rgb="FF191F5E"/>
      <name val="Arial Nova"/>
      <charset val="1"/>
    </font>
    <font>
      <b/>
      <sz val="9"/>
      <color rgb="FFA32D2D"/>
      <name val="Arial Nova"/>
      <charset val="1"/>
    </font>
    <font>
      <sz val="9"/>
      <color rgb="FF888888"/>
      <name val="Source Sans Pro"/>
      <charset val="1"/>
    </font>
    <font>
      <sz val="9"/>
      <color rgb="FF444441"/>
      <name val="Source Sans Pro"/>
      <charset val="1"/>
    </font>
    <font>
      <b/>
      <sz val="10"/>
      <color rgb="FF27500A"/>
      <name val="Arial Nova"/>
      <charset val="1"/>
    </font>
    <font>
      <b/>
      <sz val="10"/>
      <color rgb="FF097560"/>
      <name val="Arial Nova"/>
      <charset val="1"/>
    </font>
    <font>
      <b/>
      <sz val="8"/>
      <color rgb="FFFFFFFF"/>
      <name val="Arial Nova"/>
      <charset val="1"/>
    </font>
    <font>
      <i/>
      <sz val="8"/>
      <color rgb="FF888888"/>
      <name val="Source Sans Pro"/>
      <charset val="1"/>
    </font>
    <font>
      <b/>
      <sz val="9"/>
      <color rgb="FF8B5A00"/>
      <name val="Arial Nova"/>
      <charset val="1"/>
    </font>
    <font>
      <b/>
      <sz val="10"/>
      <color rgb="FF191F5E"/>
      <name val="Source Sans Pro"/>
      <charset val="1"/>
    </font>
    <font>
      <b/>
      <sz val="9"/>
      <color rgb="FF4200E5"/>
      <name val="Arial Nova"/>
      <charset val="1"/>
    </font>
    <font>
      <b/>
      <sz val="10"/>
      <color rgb="FF4200E5"/>
      <name val="Arial Nova"/>
      <charset val="1"/>
    </font>
    <font>
      <b/>
      <sz val="9"/>
      <color rgb="FF004DA9"/>
      <name val="Arial Nova"/>
      <charset val="1"/>
    </font>
    <font>
      <b/>
      <sz val="10"/>
      <color rgb="FF004DA9"/>
      <name val="Arial Nova"/>
      <charset val="1"/>
    </font>
    <font>
      <b/>
      <sz val="14"/>
      <color rgb="FFFFFFFF"/>
      <name val="Arial Nova"/>
      <charset val="1"/>
    </font>
    <font>
      <i/>
      <sz val="9"/>
      <color rgb="FF888888"/>
      <name val="Source Sans Pro"/>
      <charset val="1"/>
    </font>
    <font>
      <i/>
      <sz val="9"/>
      <color rgb="FF333333"/>
      <name val="Arial"/>
      <charset val="1"/>
    </font>
    <font>
      <sz val="11"/>
      <color theme="1" tint="0.14999847407452621"/>
      <name val="Calibri"/>
      <family val="2"/>
      <charset val="1"/>
    </font>
    <font>
      <i/>
      <sz val="8"/>
      <color theme="1" tint="0.14999847407452621"/>
      <name val="Source Sans Pro"/>
      <charset val="1"/>
    </font>
    <font>
      <sz val="9"/>
      <color theme="1" tint="0.14999847407452621"/>
      <name val="Source Sans Pro"/>
      <charset val="1"/>
    </font>
    <font>
      <i/>
      <sz val="9"/>
      <color theme="1" tint="0.14999847407452621"/>
      <name val="Arial"/>
      <charset val="1"/>
    </font>
    <font>
      <i/>
      <sz val="9"/>
      <color theme="1" tint="0.14999847407452621"/>
      <name val="Source Sans Pro"/>
      <charset val="1"/>
    </font>
    <font>
      <i/>
      <sz val="8"/>
      <color theme="1" tint="0.14999847407452621"/>
      <name val="Source Sans Pro"/>
    </font>
    <font>
      <sz val="9"/>
      <color theme="1" tint="0.14999847407452621"/>
      <name val="Source Sans Pro"/>
    </font>
    <font>
      <i/>
      <sz val="9"/>
      <color theme="1" tint="0.14999847407452621"/>
      <name val="Source Sans Pro"/>
    </font>
  </fonts>
  <fills count="17">
    <fill>
      <patternFill patternType="none"/>
    </fill>
    <fill>
      <patternFill patternType="gray125"/>
    </fill>
    <fill>
      <patternFill patternType="solid">
        <fgColor rgb="FF191F5E"/>
        <bgColor rgb="FF333399"/>
      </patternFill>
    </fill>
    <fill>
      <patternFill patternType="solid">
        <fgColor rgb="FFE8EAF6"/>
        <bgColor rgb="FFEDE8FF"/>
      </patternFill>
    </fill>
    <fill>
      <patternFill patternType="solid">
        <fgColor rgb="FFEDE8FF"/>
        <bgColor rgb="FFE8EAF6"/>
      </patternFill>
    </fill>
    <fill>
      <patternFill patternType="solid">
        <fgColor rgb="FFEAF3DE"/>
        <bgColor rgb="FFE0F2ED"/>
      </patternFill>
    </fill>
    <fill>
      <patternFill patternType="solid">
        <fgColor rgb="FFE0EBFF"/>
        <bgColor rgb="FFE8EAF6"/>
      </patternFill>
    </fill>
    <fill>
      <patternFill patternType="solid">
        <fgColor rgb="FFFCEBEB"/>
        <bgColor rgb="FFFFF3DC"/>
      </patternFill>
    </fill>
    <fill>
      <patternFill patternType="solid">
        <fgColor rgb="FFF5F5F3"/>
        <bgColor rgb="FFFFFBE6"/>
      </patternFill>
    </fill>
    <fill>
      <patternFill patternType="solid">
        <fgColor rgb="FF097560"/>
        <bgColor rgb="FF008080"/>
      </patternFill>
    </fill>
    <fill>
      <patternFill patternType="solid">
        <fgColor rgb="FFE0F2ED"/>
        <bgColor rgb="FFEAF3DE"/>
      </patternFill>
    </fill>
    <fill>
      <patternFill patternType="solid">
        <fgColor rgb="FF4200E5"/>
        <bgColor rgb="FF0000FF"/>
      </patternFill>
    </fill>
    <fill>
      <patternFill patternType="solid">
        <fgColor rgb="FFFFFFFF"/>
        <bgColor rgb="FFFFFBE6"/>
      </patternFill>
    </fill>
    <fill>
      <patternFill patternType="solid">
        <fgColor rgb="FF004DA9"/>
        <bgColor rgb="FF333399"/>
      </patternFill>
    </fill>
    <fill>
      <patternFill patternType="solid">
        <fgColor rgb="FFFFFBE6"/>
        <bgColor rgb="FFFFF3DC"/>
      </patternFill>
    </fill>
    <fill>
      <patternFill patternType="solid">
        <fgColor rgb="FFDDDDDA"/>
        <bgColor rgb="FFE8EAF6"/>
      </patternFill>
    </fill>
    <fill>
      <patternFill patternType="solid">
        <fgColor rgb="FFFFF3DC"/>
        <bgColor rgb="FFFFFBE6"/>
      </patternFill>
    </fill>
  </fills>
  <borders count="22">
    <border>
      <left/>
      <right/>
      <top/>
      <bottom/>
      <diagonal/>
    </border>
    <border>
      <left style="thin">
        <color rgb="FFDDDDDA"/>
      </left>
      <right style="thin">
        <color rgb="FFDDDDDA"/>
      </right>
      <top style="medium">
        <color rgb="FF191F5E"/>
      </top>
      <bottom style="medium">
        <color rgb="FF191F5E"/>
      </bottom>
      <diagonal/>
    </border>
    <border>
      <left style="thin">
        <color rgb="FFDDDDDA"/>
      </left>
      <right style="thin">
        <color rgb="FFDDDDDA"/>
      </right>
      <top style="medium">
        <color rgb="FF4200E5"/>
      </top>
      <bottom style="medium">
        <color rgb="FF4200E5"/>
      </bottom>
      <diagonal/>
    </border>
    <border>
      <left style="thin">
        <color rgb="FFDDDDDA"/>
      </left>
      <right style="thin">
        <color rgb="FFDDDDDA"/>
      </right>
      <top style="medium">
        <color rgb="FF27500A"/>
      </top>
      <bottom style="medium">
        <color rgb="FF27500A"/>
      </bottom>
      <diagonal/>
    </border>
    <border>
      <left style="thin">
        <color rgb="FFDDDDDA"/>
      </left>
      <right style="thin">
        <color rgb="FFDDDDDA"/>
      </right>
      <top style="medium">
        <color rgb="FF004DA9"/>
      </top>
      <bottom style="medium">
        <color rgb="FF004DA9"/>
      </bottom>
      <diagonal/>
    </border>
    <border>
      <left style="thin">
        <color rgb="FFDDDDDA"/>
      </left>
      <right style="thin">
        <color rgb="FFDDDDDA"/>
      </right>
      <top style="medium">
        <color rgb="FFA32D2D"/>
      </top>
      <bottom style="medium">
        <color rgb="FFA32D2D"/>
      </bottom>
      <diagonal/>
    </border>
    <border>
      <left style="thin">
        <color rgb="FFDDDDDA"/>
      </left>
      <right style="thin">
        <color rgb="FFDDDDDA"/>
      </right>
      <top style="medium">
        <color rgb="FF444441"/>
      </top>
      <bottom style="medium">
        <color rgb="FF444441"/>
      </bottom>
      <diagonal/>
    </border>
    <border>
      <left/>
      <right/>
      <top/>
      <bottom style="medium">
        <color rgb="FF191F5E"/>
      </bottom>
      <diagonal/>
    </border>
    <border>
      <left/>
      <right/>
      <top/>
      <bottom style="medium">
        <color rgb="FF4200E5"/>
      </bottom>
      <diagonal/>
    </border>
    <border>
      <left/>
      <right/>
      <top/>
      <bottom style="medium">
        <color rgb="FF27500A"/>
      </bottom>
      <diagonal/>
    </border>
    <border>
      <left/>
      <right/>
      <top/>
      <bottom style="medium">
        <color rgb="FF004DA9"/>
      </bottom>
      <diagonal/>
    </border>
    <border>
      <left/>
      <right/>
      <top/>
      <bottom style="medium">
        <color rgb="FFA32D2D"/>
      </bottom>
      <diagonal/>
    </border>
    <border>
      <left/>
      <right/>
      <top/>
      <bottom style="medium">
        <color rgb="FF444441"/>
      </bottom>
      <diagonal/>
    </border>
    <border>
      <left style="thin">
        <color rgb="FF4200E5"/>
      </left>
      <right style="thin">
        <color rgb="FF4200E5"/>
      </right>
      <top/>
      <bottom style="medium">
        <color rgb="FF097560"/>
      </bottom>
      <diagonal/>
    </border>
    <border>
      <left style="thin">
        <color rgb="FFDDDDDA"/>
      </left>
      <right style="thin">
        <color rgb="FFDDDDDA"/>
      </right>
      <top style="thin">
        <color rgb="FFDDDDDA"/>
      </top>
      <bottom style="thin">
        <color rgb="FFDDDDDA"/>
      </bottom>
      <diagonal/>
    </border>
    <border>
      <left style="thin">
        <color rgb="FF191F5E"/>
      </left>
      <right style="thin">
        <color rgb="FF191F5E"/>
      </right>
      <top style="thin">
        <color rgb="FF191F5E"/>
      </top>
      <bottom style="thin">
        <color rgb="FF191F5E"/>
      </bottom>
      <diagonal/>
    </border>
    <border>
      <left/>
      <right/>
      <top/>
      <bottom style="medium">
        <color rgb="FF097560"/>
      </bottom>
      <diagonal/>
    </border>
    <border>
      <left style="thin">
        <color rgb="FF097560"/>
      </left>
      <right style="thin">
        <color rgb="FF097560"/>
      </right>
      <top/>
      <bottom style="medium">
        <color rgb="FF09756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DDDDA"/>
      </left>
      <right/>
      <top style="thin">
        <color rgb="FFDDDDDA"/>
      </top>
      <bottom style="thin">
        <color rgb="FFDDDDDA"/>
      </bottom>
      <diagonal/>
    </border>
    <border>
      <left style="thin">
        <color rgb="FF4200E5"/>
      </left>
      <right style="thin">
        <color rgb="FF4200E5"/>
      </right>
      <top/>
      <bottom style="medium">
        <color rgb="FF4200E5"/>
      </bottom>
      <diagonal/>
    </border>
    <border>
      <left style="thin">
        <color rgb="FF004DA9"/>
      </left>
      <right style="thin">
        <color rgb="FF004DA9"/>
      </right>
      <top/>
      <bottom style="medium">
        <color rgb="FF004DA9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0" fillId="9" borderId="0" xfId="0" applyFill="1"/>
    <xf numFmtId="0" fontId="16" fillId="3" borderId="14" xfId="0" applyFont="1" applyFill="1" applyBorder="1" applyAlignment="1">
      <alignment horizontal="left" vertical="center" wrapText="1"/>
    </xf>
    <xf numFmtId="0" fontId="17" fillId="3" borderId="14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20" fillId="7" borderId="14" xfId="0" applyFont="1" applyFill="1" applyBorder="1" applyAlignment="1">
      <alignment horizontal="center" vertical="center"/>
    </xf>
    <xf numFmtId="9" fontId="21" fillId="10" borderId="14" xfId="0" applyNumberFormat="1" applyFont="1" applyFill="1" applyBorder="1" applyAlignment="1">
      <alignment horizontal="center" vertical="center"/>
    </xf>
    <xf numFmtId="0" fontId="0" fillId="11" borderId="0" xfId="0" applyFill="1"/>
    <xf numFmtId="0" fontId="22" fillId="12" borderId="14" xfId="0" applyFont="1" applyFill="1" applyBorder="1" applyAlignment="1">
      <alignment horizontal="left" vertical="center" wrapText="1"/>
    </xf>
    <xf numFmtId="0" fontId="17" fillId="12" borderId="14" xfId="0" applyFont="1" applyFill="1" applyBorder="1" applyAlignment="1">
      <alignment horizontal="center" vertical="center"/>
    </xf>
    <xf numFmtId="9" fontId="23" fillId="4" borderId="14" xfId="0" applyNumberFormat="1" applyFont="1" applyFill="1" applyBorder="1" applyAlignment="1">
      <alignment horizontal="center" vertical="center"/>
    </xf>
    <xf numFmtId="0" fontId="0" fillId="13" borderId="0" xfId="0" applyFill="1"/>
    <xf numFmtId="0" fontId="24" fillId="12" borderId="14" xfId="0" applyFont="1" applyFill="1" applyBorder="1" applyAlignment="1">
      <alignment horizontal="left" vertical="center" wrapText="1"/>
    </xf>
    <xf numFmtId="9" fontId="19" fillId="6" borderId="14" xfId="0" applyNumberFormat="1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left" vertical="center" wrapText="1"/>
    </xf>
    <xf numFmtId="0" fontId="16" fillId="12" borderId="14" xfId="0" applyFont="1" applyFill="1" applyBorder="1" applyAlignment="1">
      <alignment horizontal="left" vertical="center" wrapText="1"/>
    </xf>
    <xf numFmtId="0" fontId="25" fillId="2" borderId="15" xfId="0" applyFont="1" applyFill="1" applyBorder="1" applyAlignment="1">
      <alignment horizontal="center" vertical="center"/>
    </xf>
    <xf numFmtId="9" fontId="21" fillId="2" borderId="15" xfId="0" applyNumberFormat="1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0" xfId="0" applyFill="1"/>
    <xf numFmtId="0" fontId="29" fillId="10" borderId="14" xfId="0" applyFont="1" applyFill="1" applyBorder="1" applyAlignment="1">
      <alignment horizontal="center" vertical="center"/>
    </xf>
    <xf numFmtId="0" fontId="30" fillId="10" borderId="14" xfId="0" applyFont="1" applyFill="1" applyBorder="1" applyAlignment="1">
      <alignment horizontal="left" vertical="center" wrapText="1"/>
    </xf>
    <xf numFmtId="0" fontId="27" fillId="10" borderId="14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1" fillId="7" borderId="14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/>
    </xf>
    <xf numFmtId="0" fontId="33" fillId="12" borderId="14" xfId="0" applyFont="1" applyFill="1" applyBorder="1" applyAlignment="1">
      <alignment horizontal="center" vertical="center"/>
    </xf>
    <xf numFmtId="14" fontId="33" fillId="12" borderId="14" xfId="0" applyNumberFormat="1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4" fillId="5" borderId="14" xfId="0" applyFont="1" applyFill="1" applyBorder="1" applyAlignment="1">
      <alignment horizontal="center" vertical="center"/>
    </xf>
    <xf numFmtId="9" fontId="35" fillId="10" borderId="14" xfId="0" applyNumberFormat="1" applyFont="1" applyFill="1" applyBorder="1" applyAlignment="1">
      <alignment horizontal="center" vertical="center"/>
    </xf>
    <xf numFmtId="0" fontId="27" fillId="14" borderId="14" xfId="0" applyFont="1" applyFill="1" applyBorder="1" applyAlignment="1">
      <alignment horizontal="left" vertical="center" wrapText="1"/>
    </xf>
    <xf numFmtId="0" fontId="36" fillId="9" borderId="18" xfId="0" applyFont="1" applyFill="1" applyBorder="1" applyAlignment="1">
      <alignment horizontal="center" vertical="center"/>
    </xf>
    <xf numFmtId="0" fontId="0" fillId="15" borderId="0" xfId="0" applyFill="1"/>
    <xf numFmtId="0" fontId="37" fillId="10" borderId="14" xfId="0" applyFont="1" applyFill="1" applyBorder="1" applyAlignment="1">
      <alignment horizontal="center" vertical="center"/>
    </xf>
    <xf numFmtId="0" fontId="33" fillId="10" borderId="14" xfId="0" applyFont="1" applyFill="1" applyBorder="1" applyAlignment="1">
      <alignment horizontal="left" vertical="center" wrapText="1"/>
    </xf>
    <xf numFmtId="0" fontId="0" fillId="12" borderId="14" xfId="0" applyFill="1" applyBorder="1" applyAlignment="1">
      <alignment horizontal="center" vertical="center"/>
    </xf>
    <xf numFmtId="0" fontId="0" fillId="12" borderId="0" xfId="0" applyFill="1"/>
    <xf numFmtId="0" fontId="37" fillId="12" borderId="14" xfId="0" applyFont="1" applyFill="1" applyBorder="1" applyAlignment="1">
      <alignment horizontal="center" vertical="center"/>
    </xf>
    <xf numFmtId="0" fontId="33" fillId="12" borderId="14" xfId="0" applyFont="1" applyFill="1" applyBorder="1" applyAlignment="1">
      <alignment horizontal="left" vertical="center" wrapText="1"/>
    </xf>
    <xf numFmtId="0" fontId="29" fillId="12" borderId="14" xfId="0" applyFont="1" applyFill="1" applyBorder="1" applyAlignment="1">
      <alignment horizontal="center" vertical="center"/>
    </xf>
    <xf numFmtId="0" fontId="30" fillId="12" borderId="14" xfId="0" applyFont="1" applyFill="1" applyBorder="1" applyAlignment="1">
      <alignment horizontal="left" vertical="center" wrapText="1"/>
    </xf>
    <xf numFmtId="0" fontId="27" fillId="12" borderId="14" xfId="0" applyFont="1" applyFill="1" applyBorder="1" applyAlignment="1">
      <alignment horizontal="left" vertical="center" wrapText="1"/>
    </xf>
    <xf numFmtId="0" fontId="38" fillId="16" borderId="14" xfId="0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/>
    <xf numFmtId="0" fontId="40" fillId="4" borderId="14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left" vertical="center" wrapText="1"/>
    </xf>
    <xf numFmtId="0" fontId="27" fillId="4" borderId="14" xfId="0" applyFont="1" applyFill="1" applyBorder="1" applyAlignment="1">
      <alignment horizontal="left" vertical="center" wrapText="1"/>
    </xf>
    <xf numFmtId="9" fontId="41" fillId="4" borderId="14" xfId="0" applyNumberFormat="1" applyFont="1" applyFill="1" applyBorder="1" applyAlignment="1">
      <alignment horizontal="center" vertical="center"/>
    </xf>
    <xf numFmtId="0" fontId="36" fillId="11" borderId="18" xfId="0" applyFont="1" applyFill="1" applyBorder="1" applyAlignment="1">
      <alignment horizontal="center" vertical="center"/>
    </xf>
    <xf numFmtId="0" fontId="37" fillId="4" borderId="14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left" vertical="center" wrapText="1"/>
    </xf>
    <xf numFmtId="0" fontId="40" fillId="12" borderId="14" xfId="0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0" xfId="0" applyFill="1"/>
    <xf numFmtId="0" fontId="42" fillId="6" borderId="14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left" vertical="center" wrapText="1"/>
    </xf>
    <xf numFmtId="0" fontId="27" fillId="6" borderId="14" xfId="0" applyFont="1" applyFill="1" applyBorder="1" applyAlignment="1">
      <alignment horizontal="left" vertical="center" wrapText="1"/>
    </xf>
    <xf numFmtId="9" fontId="43" fillId="6" borderId="14" xfId="0" applyNumberFormat="1" applyFont="1" applyFill="1" applyBorder="1" applyAlignment="1">
      <alignment horizontal="center" vertical="center"/>
    </xf>
    <xf numFmtId="0" fontId="36" fillId="13" borderId="18" xfId="0" applyFont="1" applyFill="1" applyBorder="1" applyAlignment="1">
      <alignment horizontal="center" vertical="center"/>
    </xf>
    <xf numFmtId="0" fontId="37" fillId="6" borderId="14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left" vertical="center" wrapText="1"/>
    </xf>
    <xf numFmtId="0" fontId="42" fillId="12" borderId="14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left" vertical="center"/>
    </xf>
    <xf numFmtId="0" fontId="46" fillId="14" borderId="14" xfId="0" applyFont="1" applyFill="1" applyBorder="1" applyAlignment="1">
      <alignment horizontal="left" vertical="center" wrapText="1"/>
    </xf>
    <xf numFmtId="0" fontId="47" fillId="15" borderId="0" xfId="0" applyFont="1" applyFill="1"/>
    <xf numFmtId="0" fontId="47" fillId="10" borderId="14" xfId="0" applyFont="1" applyFill="1" applyBorder="1" applyAlignment="1">
      <alignment horizontal="center" vertical="center"/>
    </xf>
    <xf numFmtId="0" fontId="47" fillId="10" borderId="0" xfId="0" applyFont="1" applyFill="1"/>
    <xf numFmtId="0" fontId="48" fillId="10" borderId="14" xfId="0" applyFont="1" applyFill="1" applyBorder="1" applyAlignment="1">
      <alignment horizontal="center" vertical="center"/>
    </xf>
    <xf numFmtId="0" fontId="49" fillId="10" borderId="14" xfId="0" applyFont="1" applyFill="1" applyBorder="1" applyAlignment="1">
      <alignment horizontal="left" vertical="center" wrapText="1"/>
    </xf>
    <xf numFmtId="0" fontId="49" fillId="8" borderId="14" xfId="0" applyFont="1" applyFill="1" applyBorder="1" applyAlignment="1">
      <alignment horizontal="center" vertical="center"/>
    </xf>
    <xf numFmtId="0" fontId="49" fillId="12" borderId="14" xfId="0" applyFont="1" applyFill="1" applyBorder="1" applyAlignment="1">
      <alignment horizontal="center" vertical="center"/>
    </xf>
    <xf numFmtId="14" fontId="49" fillId="12" borderId="14" xfId="0" applyNumberFormat="1" applyFont="1" applyFill="1" applyBorder="1" applyAlignment="1">
      <alignment horizontal="center" vertical="center"/>
    </xf>
    <xf numFmtId="0" fontId="50" fillId="14" borderId="14" xfId="0" applyFont="1" applyFill="1" applyBorder="1" applyAlignment="1">
      <alignment horizontal="left" vertical="center" wrapText="1"/>
    </xf>
    <xf numFmtId="0" fontId="47" fillId="0" borderId="0" xfId="0" applyFont="1"/>
    <xf numFmtId="0" fontId="47" fillId="12" borderId="14" xfId="0" applyFont="1" applyFill="1" applyBorder="1" applyAlignment="1">
      <alignment horizontal="center" vertical="center"/>
    </xf>
    <xf numFmtId="0" fontId="47" fillId="12" borderId="0" xfId="0" applyFont="1" applyFill="1"/>
    <xf numFmtId="0" fontId="48" fillId="12" borderId="14" xfId="0" applyFont="1" applyFill="1" applyBorder="1" applyAlignment="1">
      <alignment horizontal="center" vertical="center"/>
    </xf>
    <xf numFmtId="0" fontId="49" fillId="12" borderId="14" xfId="0" applyFont="1" applyFill="1" applyBorder="1" applyAlignment="1">
      <alignment horizontal="left" vertical="center" wrapText="1"/>
    </xf>
    <xf numFmtId="0" fontId="51" fillId="14" borderId="14" xfId="0" applyFont="1" applyFill="1" applyBorder="1" applyAlignment="1">
      <alignment horizontal="left" vertical="center" wrapText="1"/>
    </xf>
    <xf numFmtId="0" fontId="47" fillId="10" borderId="0" xfId="0" applyFont="1" applyFill="1" applyAlignment="1">
      <alignment horizontal="center" vertical="center"/>
    </xf>
    <xf numFmtId="0" fontId="52" fillId="10" borderId="14" xfId="0" applyFont="1" applyFill="1" applyBorder="1" applyAlignment="1">
      <alignment horizontal="center" vertical="center"/>
    </xf>
    <xf numFmtId="0" fontId="53" fillId="10" borderId="14" xfId="0" applyFont="1" applyFill="1" applyBorder="1" applyAlignment="1">
      <alignment horizontal="left" vertical="center" wrapText="1"/>
    </xf>
    <xf numFmtId="0" fontId="53" fillId="8" borderId="14" xfId="0" applyFont="1" applyFill="1" applyBorder="1" applyAlignment="1">
      <alignment horizontal="center" vertical="center"/>
    </xf>
    <xf numFmtId="0" fontId="53" fillId="12" borderId="14" xfId="0" applyFont="1" applyFill="1" applyBorder="1" applyAlignment="1">
      <alignment horizontal="center" vertical="center"/>
    </xf>
    <xf numFmtId="14" fontId="53" fillId="12" borderId="14" xfId="0" applyNumberFormat="1" applyFont="1" applyFill="1" applyBorder="1" applyAlignment="1">
      <alignment horizontal="center" vertical="center"/>
    </xf>
    <xf numFmtId="0" fontId="54" fillId="14" borderId="14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27" fillId="10" borderId="16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0" fontId="39" fillId="10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11" borderId="0" xfId="0" applyFont="1" applyFill="1" applyAlignment="1">
      <alignment horizontal="left" vertical="center"/>
    </xf>
    <xf numFmtId="0" fontId="27" fillId="4" borderId="8" xfId="0" applyFont="1" applyFill="1" applyBorder="1" applyAlignment="1">
      <alignment horizontal="left" vertical="center" wrapText="1"/>
    </xf>
    <xf numFmtId="0" fontId="39" fillId="4" borderId="19" xfId="0" applyFont="1" applyFill="1" applyBorder="1" applyAlignment="1">
      <alignment horizontal="center" vertical="center"/>
    </xf>
    <xf numFmtId="0" fontId="25" fillId="13" borderId="0" xfId="0" applyFont="1" applyFill="1" applyAlignment="1">
      <alignment horizontal="left" vertical="center"/>
    </xf>
    <xf numFmtId="0" fontId="27" fillId="6" borderId="10" xfId="0" applyFont="1" applyFill="1" applyBorder="1" applyAlignment="1">
      <alignment horizontal="left" vertical="center" wrapText="1"/>
    </xf>
    <xf numFmtId="0" fontId="39" fillId="6" borderId="19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4200E5"/>
      <rgbColor rgb="FFFFFF00"/>
      <rgbColor rgb="FFFF00FF"/>
      <rgbColor rgb="FF00FFFF"/>
      <rgbColor rgb="FF800000"/>
      <rgbColor rgb="FF008000"/>
      <rgbColor rgb="FF000080"/>
      <rgbColor rgb="FF8B5A00"/>
      <rgbColor rgb="FF800080"/>
      <rgbColor rgb="FF097560"/>
      <rgbColor rgb="FFE8EAF6"/>
      <rgbColor rgb="FF888888"/>
      <rgbColor rgb="FFA0AACF"/>
      <rgbColor rgb="FF993366"/>
      <rgbColor rgb="FFFFFBE6"/>
      <rgbColor rgb="FFE0F2ED"/>
      <rgbColor rgb="FF660066"/>
      <rgbColor rgb="FFFF8080"/>
      <rgbColor rgb="FF004DA9"/>
      <rgbColor rgb="FFDDDD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BFF"/>
      <rgbColor rgb="FFEAF3DE"/>
      <rgbColor rgb="FFFFF3DC"/>
      <rgbColor rgb="FFEDE8FF"/>
      <rgbColor rgb="FFF5F5F3"/>
      <rgbColor rgb="FFCC99FF"/>
      <rgbColor rgb="FFFCEBE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91F5E"/>
      <rgbColor rgb="FF339966"/>
      <rgbColor rgb="FF003300"/>
      <rgbColor rgb="FF27500A"/>
      <rgbColor rgb="FFA32D2D"/>
      <rgbColor rgb="FF993366"/>
      <rgbColor rgb="FF33339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1F5E"/>
  </sheetPr>
  <dimension ref="A1:H15"/>
  <sheetViews>
    <sheetView showGridLines="0" zoomScaleNormal="100" workbookViewId="0">
      <pane xSplit="1" ySplit="8" topLeftCell="B9" activePane="bottomRight" state="frozen"/>
      <selection pane="bottomRight" activeCell="B10" sqref="B10"/>
      <selection pane="bottomLeft" activeCell="A9" sqref="A9"/>
      <selection pane="topRight" activeCell="B1" sqref="B1"/>
    </sheetView>
  </sheetViews>
  <sheetFormatPr defaultColWidth="8.5703125" defaultRowHeight="14.45"/>
  <cols>
    <col min="1" max="1" width="3" customWidth="1"/>
    <col min="2" max="2" width="45.140625" customWidth="1"/>
    <col min="3" max="3" width="24.5703125" customWidth="1"/>
    <col min="4" max="4" width="30.140625" customWidth="1"/>
    <col min="5" max="5" width="27.85546875" customWidth="1"/>
    <col min="6" max="6" width="19.140625" customWidth="1"/>
    <col min="7" max="7" width="18.5703125" customWidth="1"/>
    <col min="8" max="8" width="13" customWidth="1"/>
  </cols>
  <sheetData>
    <row r="1" spans="1:8" ht="7.5" customHeight="1"/>
    <row r="2" spans="1:8" ht="54" customHeight="1">
      <c r="A2" s="110" t="s">
        <v>0</v>
      </c>
      <c r="B2" s="110"/>
      <c r="C2" s="110"/>
      <c r="D2" s="110"/>
      <c r="E2" s="110"/>
      <c r="F2" s="110"/>
      <c r="G2" s="110"/>
      <c r="H2" s="110"/>
    </row>
    <row r="3" spans="1:8" ht="19.5" customHeight="1">
      <c r="A3" s="111" t="s">
        <v>1</v>
      </c>
      <c r="B3" s="111"/>
      <c r="C3" s="111"/>
      <c r="D3" s="111"/>
      <c r="E3" s="111"/>
      <c r="F3" s="111"/>
      <c r="G3" s="111"/>
      <c r="H3" s="111"/>
    </row>
    <row r="4" spans="1:8" ht="13.5" customHeight="1"/>
    <row r="5" spans="1:8" ht="63.75" customHeight="1">
      <c r="B5" s="1">
        <v>43</v>
      </c>
      <c r="C5" s="2">
        <f>COUNTA('E1 · Captura'!E7:E60)+COUNTA('E2 · Validación IA'!E7:E62)+COUNTA('E3 · Envío'!E7:E49)+COUNTA('E4 · Glosas'!E7:E61)+COUNTA('E5 · Apelación'!E7:E47)+COUNTA('E6 · Pago y Cierre'!E7:E55)</f>
        <v>255</v>
      </c>
      <c r="E5" s="3">
        <f>COUNTIF('E1 · Captura'!F7:F60,"Completado")+COUNTIF('E2 · Validación IA'!F7:F62,"Completado")+COUNTIF('E3 · Envío'!F7:F49,"Completado")+COUNTIF('E4 · Glosas'!F7:F61,"Completado")+COUNTIF('E5 · Apelación'!F7:F47,"Completado")+COUNTIF('E6 · Pago y Cierre'!F7:F55,"Completado")</f>
        <v>31</v>
      </c>
      <c r="F5" s="4">
        <f>COUNTIF('E1 · Captura'!F7:F60,"En Progreso")+COUNTIF('E2 · Validación IA'!F7:F62,"En Progreso")+COUNTIF('E3 · Envío'!F7:F49,"En Progreso")+COUNTIF('E4 · Glosas'!F7:F61,"En Progreso")+COUNTIF('E5 · Apelación'!F7:F47,"En Progreso")+COUNTIF('E6 · Pago y Cierre'!F7:F55,"En Progreso")</f>
        <v>7</v>
      </c>
      <c r="G5" s="5">
        <f>COUNTIF('E1 · Captura'!F7:F60,"Bloqueado")+COUNTIF('E2 · Validación IA'!F7:F62,"Bloqueado")+COUNTIF('E3 · Envío'!F7:F49,"Bloqueado")+COUNTIF('E4 · Glosas'!F7:F61,"Bloqueado")+COUNTIF('E5 · Apelación'!F7:F47,"Bloqueado")+COUNTIF('E6 · Pago y Cierre'!F7:F55,"Bloqueado")</f>
        <v>0</v>
      </c>
      <c r="H5" s="6">
        <f>COUNTIF('E1 · Captura'!F7:F60,"Pendiente")+COUNTIF('E2 · Validación IA'!F7:F62,"Pendiente")+COUNTIF('E3 · Envío'!F7:F49,"Pendiente")+COUNTIF('E4 · Glosas'!F7:F61,"Pendiente")+COUNTIF('E5 · Apelación'!F7:F47,"Pendiente")+COUNTIF('E6 · Pago y Cierre'!F7:F55,"Pendiente")</f>
        <v>121</v>
      </c>
    </row>
    <row r="6" spans="1:8" ht="18" customHeight="1">
      <c r="B6" s="7" t="s">
        <v>2</v>
      </c>
      <c r="C6" s="8" t="s">
        <v>3</v>
      </c>
      <c r="E6" s="9" t="s">
        <v>4</v>
      </c>
      <c r="F6" s="10" t="s">
        <v>5</v>
      </c>
      <c r="G6" s="11" t="s">
        <v>6</v>
      </c>
      <c r="H6" s="12" t="s">
        <v>7</v>
      </c>
    </row>
    <row r="7" spans="1:8" ht="15.75" customHeight="1"/>
    <row r="8" spans="1:8" ht="27.75" customHeight="1">
      <c r="A8" s="13"/>
      <c r="B8" s="13" t="s">
        <v>8</v>
      </c>
      <c r="C8" s="13" t="s">
        <v>9</v>
      </c>
      <c r="D8" s="13" t="s">
        <v>3</v>
      </c>
      <c r="E8" s="13" t="s">
        <v>4</v>
      </c>
      <c r="F8" s="13" t="s">
        <v>5</v>
      </c>
      <c r="G8" s="13" t="s">
        <v>6</v>
      </c>
      <c r="H8" s="13" t="s">
        <v>10</v>
      </c>
    </row>
    <row r="9" spans="1:8" ht="31.5" customHeight="1">
      <c r="A9" s="14"/>
      <c r="B9" s="15" t="s">
        <v>11</v>
      </c>
      <c r="C9" s="16">
        <v>8</v>
      </c>
      <c r="D9" s="16">
        <f>COUNTA('E1 · Captura'!E7:E60)</f>
        <v>46</v>
      </c>
      <c r="E9" s="17">
        <f>COUNTIF('E1 · Captura'!F7:F60,"Completado")</f>
        <v>12</v>
      </c>
      <c r="F9" s="18">
        <f>COUNTIF('E1 · Captura'!F7:F60,"En Progreso")</f>
        <v>6</v>
      </c>
      <c r="G9" s="19">
        <f>COUNTIF('E1 · Captura'!F7:F60,"Bloqueado")</f>
        <v>0</v>
      </c>
      <c r="H9" s="20">
        <f>IFERROR(COUNTIF('E1 · Captura'!F7:F60,"Completado")/COUNTA('E1 · Captura'!E7:E60),0)</f>
        <v>0.2608695652173913</v>
      </c>
    </row>
    <row r="10" spans="1:8" ht="31.5" customHeight="1">
      <c r="A10" s="21"/>
      <c r="B10" s="22" t="s">
        <v>12</v>
      </c>
      <c r="C10" s="23">
        <v>8</v>
      </c>
      <c r="D10" s="23">
        <f>COUNTA('E2 · Validación IA'!E7:E62)</f>
        <v>48</v>
      </c>
      <c r="E10" s="17">
        <f>COUNTIF('E2 · Validación IA'!F7:F62,"Completado")</f>
        <v>19</v>
      </c>
      <c r="F10" s="18">
        <f>COUNTIF('E2 · Validación IA'!F7:F62,"En Progreso")</f>
        <v>1</v>
      </c>
      <c r="G10" s="19">
        <f>COUNTIF('E2 · Validación IA'!F7:F62,"Bloqueado")</f>
        <v>0</v>
      </c>
      <c r="H10" s="24">
        <f>IFERROR(COUNTIF('E2 · Validación IA'!F7:F62,"Completado")/COUNTA('E2 · Validación IA'!E7:E62),0)</f>
        <v>0.39583333333333331</v>
      </c>
    </row>
    <row r="11" spans="1:8" ht="31.5" customHeight="1">
      <c r="A11" s="14"/>
      <c r="B11" s="15" t="s">
        <v>13</v>
      </c>
      <c r="C11" s="16">
        <v>6</v>
      </c>
      <c r="D11" s="16">
        <f>COUNTA('E3 · Envío'!E7:E49)</f>
        <v>37</v>
      </c>
      <c r="E11" s="17">
        <f>COUNTIF('E3 · Envío'!F7:F49,"Completado")</f>
        <v>0</v>
      </c>
      <c r="F11" s="18">
        <f>COUNTIF('E3 · Envío'!F7:F49,"En Progreso")</f>
        <v>0</v>
      </c>
      <c r="G11" s="19">
        <f>COUNTIF('E3 · Envío'!F7:F49,"Bloqueado")</f>
        <v>0</v>
      </c>
      <c r="H11" s="20">
        <f>IFERROR(COUNTIF('E3 · Envío'!F7:F49,"Completado")/COUNTA('E3 · Envío'!E7:E49),0)</f>
        <v>0</v>
      </c>
    </row>
    <row r="12" spans="1:8" ht="31.5" customHeight="1">
      <c r="A12" s="25"/>
      <c r="B12" s="26" t="s">
        <v>14</v>
      </c>
      <c r="C12" s="23">
        <v>8</v>
      </c>
      <c r="D12" s="23">
        <f>COUNTA('E4 · Glosas'!E7:E61)</f>
        <v>47</v>
      </c>
      <c r="E12" s="17">
        <f>COUNTIF('E4 · Glosas'!F7:F61,"Completado")</f>
        <v>0</v>
      </c>
      <c r="F12" s="18">
        <f>COUNTIF('E4 · Glosas'!F7:F61,"En Progreso")</f>
        <v>0</v>
      </c>
      <c r="G12" s="19">
        <f>COUNTIF('E4 · Glosas'!F7:F61,"Bloqueado")</f>
        <v>0</v>
      </c>
      <c r="H12" s="27">
        <f>IFERROR(COUNTIF('E4 · Glosas'!F7:F61,"Completado")/COUNTA('E4 · Glosas'!E7:E61),0)</f>
        <v>0</v>
      </c>
    </row>
    <row r="13" spans="1:8" ht="31.5" customHeight="1">
      <c r="A13" s="21"/>
      <c r="B13" s="28" t="s">
        <v>15</v>
      </c>
      <c r="C13" s="16">
        <v>6</v>
      </c>
      <c r="D13" s="16">
        <f>COUNTA('E5 · Apelación'!E7:E47)</f>
        <v>35</v>
      </c>
      <c r="E13" s="17">
        <f>COUNTIF('E5 · Apelación'!F7:F47,"Completado")</f>
        <v>0</v>
      </c>
      <c r="F13" s="18">
        <f>COUNTIF('E5 · Apelación'!F7:F47,"En Progreso")</f>
        <v>0</v>
      </c>
      <c r="G13" s="19">
        <f>COUNTIF('E5 · Apelación'!F7:F47,"Bloqueado")</f>
        <v>0</v>
      </c>
      <c r="H13" s="24">
        <f>IFERROR(COUNTIF('E5 · Apelación'!F7:F47,"Completado")/COUNTA('E5 · Apelación'!E7:E47),0)</f>
        <v>0</v>
      </c>
    </row>
    <row r="14" spans="1:8" ht="31.5" customHeight="1">
      <c r="A14" s="14"/>
      <c r="B14" s="29" t="s">
        <v>16</v>
      </c>
      <c r="C14" s="23">
        <v>7</v>
      </c>
      <c r="D14" s="23">
        <f>COUNTA('E6 · Pago y Cierre'!E7:E55)</f>
        <v>42</v>
      </c>
      <c r="E14" s="17">
        <f>COUNTIF('E6 · Pago y Cierre'!F7:F55,"Completado")</f>
        <v>0</v>
      </c>
      <c r="F14" s="18">
        <f>COUNTIF('E6 · Pago y Cierre'!F7:F55,"En Progreso")</f>
        <v>0</v>
      </c>
      <c r="G14" s="19">
        <f>COUNTIF('E6 · Pago y Cierre'!F7:F55,"Bloqueado")</f>
        <v>0</v>
      </c>
      <c r="H14" s="20">
        <f>IFERROR(COUNTIF('E6 · Pago y Cierre'!F7:F55,"Completado")/COUNTA('E6 · Pago y Cierre'!E7:E55),0)</f>
        <v>0</v>
      </c>
    </row>
    <row r="15" spans="1:8" ht="27.75" customHeight="1">
      <c r="A15" s="112" t="s">
        <v>17</v>
      </c>
      <c r="B15" s="112"/>
      <c r="C15" s="30">
        <v>43</v>
      </c>
      <c r="D15" s="30">
        <f>COUNTA('E1 · Captura'!E7:E60)+COUNTA('E2 · Validación IA'!E7:E62)+COUNTA('E3 · Envío'!E7:E49)+COUNTA('E4 · Glosas'!E7:E61)+COUNTA('E5 · Apelación'!E7:E47)+COUNTA('E6 · Pago y Cierre'!E7:E55)</f>
        <v>255</v>
      </c>
      <c r="E15" s="30">
        <f>COUNTIF('E1 · Captura'!F7:F60,"Completado")+COUNTIF('E2 · Validación IA'!F7:F62,"Completado")+COUNTIF('E3 · Envío'!F7:F49,"Completado")+COUNTIF('E4 · Glosas'!F7:F61,"Completado")+COUNTIF('E5 · Apelación'!F7:F47,"Completado")+COUNTIF('E6 · Pago y Cierre'!F7:F55,"Completado")</f>
        <v>31</v>
      </c>
      <c r="F15" s="30">
        <f>COUNTIF('E1 · Captura'!F7:F60,"En Progreso")+COUNTIF('E2 · Validación IA'!F7:F62,"En Progreso")+COUNTIF('E3 · Envío'!F7:F49,"En Progreso")+COUNTIF('E4 · Glosas'!F7:F61,"En Progreso")+COUNTIF('E5 · Apelación'!F7:F47,"En Progreso")+COUNTIF('E6 · Pago y Cierre'!F7:F55,"En Progreso")</f>
        <v>7</v>
      </c>
      <c r="G15" s="30">
        <f>COUNTIF('E1 · Captura'!F7:F60,"Bloqueado")+COUNTIF('E2 · Validación IA'!F7:F62,"Bloqueado")+COUNTIF('E3 · Envío'!F7:F49,"Bloqueado")+COUNTIF('E4 · Glosas'!F7:F61,"Bloqueado")+COUNTIF('E5 · Apelación'!F7:F47,"Bloqueado")+COUNTIF('E6 · Pago y Cierre'!F7:F55,"Bloqueado")</f>
        <v>0</v>
      </c>
      <c r="H15" s="31">
        <f>AVERAGE(H9:H13)</f>
        <v>0.13134057971014493</v>
      </c>
    </row>
  </sheetData>
  <mergeCells count="3">
    <mergeCell ref="A2:H2"/>
    <mergeCell ref="A3:H3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97560"/>
  </sheetPr>
  <dimension ref="A1:P69"/>
  <sheetViews>
    <sheetView showGridLines="0" zoomScaleNormal="100" workbookViewId="0">
      <pane xSplit="4" ySplit="6" topLeftCell="E49" activePane="bottomRight" state="frozen"/>
      <selection pane="bottomRight" activeCell="O53" sqref="O53"/>
      <selection pane="bottomLeft" activeCell="A7" sqref="A7"/>
      <selection pane="topRight" activeCell="E1" sqref="E1"/>
    </sheetView>
  </sheetViews>
  <sheetFormatPr defaultColWidth="8.5703125" defaultRowHeight="14.45"/>
  <cols>
    <col min="1" max="1" width="2" customWidth="1"/>
    <col min="2" max="2" width="4" customWidth="1"/>
    <col min="3" max="3" width="3" hidden="1" customWidth="1"/>
    <col min="4" max="4" width="12" customWidth="1"/>
    <col min="5" max="5" width="28" customWidth="1"/>
    <col min="6" max="6" width="36" customWidth="1"/>
    <col min="7" max="7" width="20" customWidth="1"/>
    <col min="8" max="8" width="12" customWidth="1"/>
    <col min="9" max="9" width="28.140625" customWidth="1"/>
    <col min="10" max="10" width="18" customWidth="1"/>
    <col min="11" max="12" width="13" customWidth="1"/>
    <col min="13" max="13" width="9" customWidth="1"/>
    <col min="14" max="14" width="10" customWidth="1"/>
    <col min="15" max="15" width="9" customWidth="1"/>
    <col min="16" max="16" width="42.5703125" customWidth="1"/>
  </cols>
  <sheetData>
    <row r="1" spans="1:16" ht="7.5" customHeight="1"/>
    <row r="2" spans="1:16" ht="43.5" customHeight="1">
      <c r="A2" s="105" t="s">
        <v>18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ht="19.5" customHeight="1">
      <c r="A3" s="106" t="s">
        <v>11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</row>
    <row r="4" spans="1:16" ht="27" customHeight="1">
      <c r="A4" s="107" t="s">
        <v>19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1:16" ht="7.5" customHeight="1"/>
    <row r="6" spans="1:16" ht="27.75" customHeight="1">
      <c r="A6" s="32"/>
      <c r="B6" s="32" t="s">
        <v>20</v>
      </c>
      <c r="C6" s="32" t="s">
        <v>21</v>
      </c>
      <c r="D6" s="32" t="s">
        <v>22</v>
      </c>
      <c r="E6" s="32" t="s">
        <v>23</v>
      </c>
      <c r="F6" s="32" t="s">
        <v>24</v>
      </c>
      <c r="G6" s="32" t="s">
        <v>25</v>
      </c>
      <c r="H6" s="32" t="s">
        <v>26</v>
      </c>
      <c r="I6" s="32" t="s">
        <v>27</v>
      </c>
      <c r="J6" s="32" t="s">
        <v>28</v>
      </c>
      <c r="K6" s="32" t="s">
        <v>29</v>
      </c>
      <c r="L6" s="32" t="s">
        <v>30</v>
      </c>
      <c r="M6" s="32" t="s">
        <v>3</v>
      </c>
      <c r="N6" s="32" t="s">
        <v>4</v>
      </c>
      <c r="O6" s="32" t="s">
        <v>10</v>
      </c>
      <c r="P6" s="32" t="s">
        <v>31</v>
      </c>
    </row>
    <row r="7" spans="1:16" ht="39.75" customHeight="1">
      <c r="A7" s="14"/>
      <c r="B7" s="33"/>
      <c r="C7" s="34" t="b">
        <f>FALSE()</f>
        <v>0</v>
      </c>
      <c r="D7" s="35" t="s">
        <v>32</v>
      </c>
      <c r="E7" s="36" t="s">
        <v>33</v>
      </c>
      <c r="F7" s="37" t="s">
        <v>34</v>
      </c>
      <c r="G7" s="38" t="s">
        <v>35</v>
      </c>
      <c r="H7" s="39" t="s">
        <v>36</v>
      </c>
      <c r="I7" s="40" t="s">
        <v>5</v>
      </c>
      <c r="J7" s="41"/>
      <c r="K7" s="42"/>
      <c r="L7" s="42"/>
      <c r="M7" s="43">
        <f>COUNTA(E9:E58)</f>
        <v>43</v>
      </c>
      <c r="N7" s="44">
        <f>COUNTIF(F9:F58,"Completado")</f>
        <v>12</v>
      </c>
      <c r="O7" s="45">
        <f>IFERROR(COUNTIF(F9:F15,"Completado")/COUNTA(E9:E15),0)</f>
        <v>0.5714285714285714</v>
      </c>
      <c r="P7" s="82" t="s">
        <v>37</v>
      </c>
    </row>
    <row r="8" spans="1:16" ht="18" customHeight="1">
      <c r="A8" s="47"/>
      <c r="B8" s="47" t="s">
        <v>20</v>
      </c>
      <c r="C8" s="47" t="s">
        <v>21</v>
      </c>
      <c r="D8" s="47" t="s">
        <v>38</v>
      </c>
      <c r="E8" s="47" t="s">
        <v>39</v>
      </c>
      <c r="F8" s="47" t="s">
        <v>27</v>
      </c>
      <c r="G8" s="47" t="s">
        <v>28</v>
      </c>
      <c r="H8" s="47" t="s">
        <v>30</v>
      </c>
      <c r="I8" s="47" t="s">
        <v>40</v>
      </c>
      <c r="J8" s="14"/>
      <c r="K8" s="14"/>
      <c r="L8" s="14"/>
      <c r="M8" s="14"/>
      <c r="N8" s="14"/>
      <c r="O8" s="14"/>
      <c r="P8" s="14"/>
    </row>
    <row r="9" spans="1:16" s="92" customFormat="1" ht="25.5" customHeight="1">
      <c r="A9" s="83"/>
      <c r="B9" s="84">
        <v>2</v>
      </c>
      <c r="C9" s="85" t="b">
        <f>FALSE()</f>
        <v>0</v>
      </c>
      <c r="D9" s="86" t="s">
        <v>32</v>
      </c>
      <c r="E9" s="87" t="s">
        <v>41</v>
      </c>
      <c r="F9" s="88" t="s">
        <v>5</v>
      </c>
      <c r="G9" s="89" t="s">
        <v>42</v>
      </c>
      <c r="H9" s="90"/>
      <c r="I9" s="91" t="s">
        <v>43</v>
      </c>
      <c r="J9" s="85"/>
      <c r="K9" s="85"/>
      <c r="L9" s="85"/>
      <c r="M9" s="85"/>
      <c r="N9" s="85"/>
      <c r="O9" s="85"/>
      <c r="P9" s="85"/>
    </row>
    <row r="10" spans="1:16" s="92" customFormat="1" ht="25.5" customHeight="1">
      <c r="A10" s="83"/>
      <c r="B10" s="93">
        <v>1</v>
      </c>
      <c r="C10" s="94" t="b">
        <f>FALSE()</f>
        <v>0</v>
      </c>
      <c r="D10" s="95" t="s">
        <v>32</v>
      </c>
      <c r="E10" s="96" t="s">
        <v>44</v>
      </c>
      <c r="F10" s="88" t="s">
        <v>45</v>
      </c>
      <c r="G10" s="89" t="s">
        <v>46</v>
      </c>
      <c r="H10" s="90"/>
      <c r="I10" s="97" t="s">
        <v>47</v>
      </c>
      <c r="J10" s="94"/>
      <c r="K10" s="94"/>
      <c r="L10" s="94"/>
      <c r="M10" s="94"/>
      <c r="N10" s="94"/>
      <c r="O10" s="94"/>
      <c r="P10" s="94"/>
    </row>
    <row r="11" spans="1:16" s="92" customFormat="1" ht="25.5" customHeight="1">
      <c r="A11" s="83"/>
      <c r="B11" s="84">
        <v>2</v>
      </c>
      <c r="C11" s="85" t="b">
        <f>FALSE()</f>
        <v>0</v>
      </c>
      <c r="D11" s="86" t="s">
        <v>32</v>
      </c>
      <c r="E11" s="87" t="s">
        <v>48</v>
      </c>
      <c r="F11" s="88" t="s">
        <v>45</v>
      </c>
      <c r="G11" s="89" t="s">
        <v>49</v>
      </c>
      <c r="H11" s="90"/>
      <c r="I11" s="97" t="s">
        <v>50</v>
      </c>
      <c r="J11" s="85"/>
      <c r="K11" s="85"/>
      <c r="L11" s="85"/>
      <c r="M11" s="85"/>
      <c r="N11" s="85"/>
      <c r="O11" s="85"/>
      <c r="P11" s="85"/>
    </row>
    <row r="12" spans="1:16" s="92" customFormat="1" ht="25.5" customHeight="1">
      <c r="A12" s="83"/>
      <c r="B12" s="93">
        <v>0</v>
      </c>
      <c r="C12" s="94" t="b">
        <f>FALSE()</f>
        <v>0</v>
      </c>
      <c r="D12" s="99" t="s">
        <v>32</v>
      </c>
      <c r="E12" s="96" t="s">
        <v>51</v>
      </c>
      <c r="F12" s="88" t="s">
        <v>45</v>
      </c>
      <c r="G12" s="89" t="s">
        <v>52</v>
      </c>
      <c r="H12" s="90"/>
      <c r="I12" s="97" t="s">
        <v>53</v>
      </c>
      <c r="J12" s="94"/>
      <c r="K12" s="94"/>
      <c r="L12" s="94"/>
      <c r="M12" s="94"/>
      <c r="N12" s="94"/>
      <c r="O12" s="94"/>
      <c r="P12" s="94"/>
    </row>
    <row r="13" spans="1:16" s="92" customFormat="1" ht="24.6" customHeight="1">
      <c r="A13" s="83"/>
      <c r="B13" s="84">
        <v>2</v>
      </c>
      <c r="C13" s="85" t="b">
        <f>FALSE()</f>
        <v>0</v>
      </c>
      <c r="D13" s="86" t="s">
        <v>32</v>
      </c>
      <c r="E13" s="87" t="s">
        <v>54</v>
      </c>
      <c r="F13" s="88" t="s">
        <v>5</v>
      </c>
      <c r="G13" s="89" t="s">
        <v>42</v>
      </c>
      <c r="H13" s="90"/>
      <c r="I13" s="97" t="s">
        <v>55</v>
      </c>
      <c r="J13" s="85"/>
      <c r="K13" s="85"/>
      <c r="L13" s="85"/>
      <c r="M13" s="85"/>
      <c r="N13" s="85"/>
      <c r="O13" s="85"/>
      <c r="P13" s="85"/>
    </row>
    <row r="14" spans="1:16" s="92" customFormat="1" ht="24.6" customHeight="1">
      <c r="A14" s="83"/>
      <c r="B14" s="98">
        <v>0</v>
      </c>
      <c r="C14" s="85"/>
      <c r="D14" s="99" t="s">
        <v>32</v>
      </c>
      <c r="E14" s="100" t="s">
        <v>56</v>
      </c>
      <c r="F14" s="101" t="s">
        <v>5</v>
      </c>
      <c r="G14" s="102" t="s">
        <v>42</v>
      </c>
      <c r="H14" s="103"/>
      <c r="I14" s="104" t="s">
        <v>57</v>
      </c>
      <c r="J14" s="85"/>
      <c r="K14" s="85"/>
      <c r="L14" s="85"/>
      <c r="M14" s="85"/>
      <c r="N14" s="85"/>
      <c r="O14" s="85"/>
      <c r="P14" s="85"/>
    </row>
    <row r="15" spans="1:16" s="92" customFormat="1" ht="25.5" customHeight="1">
      <c r="A15" s="83"/>
      <c r="B15" s="98">
        <v>2</v>
      </c>
      <c r="C15" s="85"/>
      <c r="D15" s="99" t="s">
        <v>32</v>
      </c>
      <c r="E15" s="100" t="s">
        <v>58</v>
      </c>
      <c r="F15" s="101" t="s">
        <v>45</v>
      </c>
      <c r="G15" s="102" t="s">
        <v>42</v>
      </c>
      <c r="H15" s="103"/>
      <c r="I15" s="104" t="s">
        <v>59</v>
      </c>
      <c r="J15" s="85"/>
      <c r="K15" s="85"/>
      <c r="L15" s="85"/>
      <c r="M15" s="85"/>
      <c r="N15" s="85"/>
      <c r="O15" s="85"/>
      <c r="P15" s="85"/>
    </row>
    <row r="16" spans="1:16" ht="4.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</row>
    <row r="17" spans="1:16" ht="39.75" customHeight="1">
      <c r="A17" s="14"/>
      <c r="B17" s="51"/>
      <c r="C17" s="52" t="b">
        <f>FALSE()</f>
        <v>0</v>
      </c>
      <c r="D17" s="55" t="s">
        <v>60</v>
      </c>
      <c r="E17" s="56" t="s">
        <v>61</v>
      </c>
      <c r="F17" s="57" t="s">
        <v>62</v>
      </c>
      <c r="G17" s="38" t="s">
        <v>35</v>
      </c>
      <c r="H17" s="39" t="s">
        <v>36</v>
      </c>
      <c r="I17" s="40" t="s">
        <v>5</v>
      </c>
      <c r="J17" s="41"/>
      <c r="K17" s="42"/>
      <c r="L17" s="42"/>
      <c r="M17" s="43">
        <f>COUNTA(E19:E65)</f>
        <v>35</v>
      </c>
      <c r="N17" s="44">
        <f>COUNTIF(F19:F65,"Completado")</f>
        <v>8</v>
      </c>
      <c r="O17" s="45">
        <f>IFERROR(COUNTIF(F19:F23,"Completado")/COUNTA(E19:E23),0)</f>
        <v>0.4</v>
      </c>
      <c r="P17" s="46" t="s">
        <v>63</v>
      </c>
    </row>
    <row r="18" spans="1:16" ht="18" customHeight="1">
      <c r="A18" s="47"/>
      <c r="B18" s="47" t="s">
        <v>20</v>
      </c>
      <c r="C18" s="47" t="s">
        <v>21</v>
      </c>
      <c r="D18" s="47" t="s">
        <v>38</v>
      </c>
      <c r="E18" s="47" t="s">
        <v>39</v>
      </c>
      <c r="F18" s="47" t="s">
        <v>27</v>
      </c>
      <c r="G18" s="47" t="s">
        <v>28</v>
      </c>
      <c r="H18" s="47" t="s">
        <v>30</v>
      </c>
      <c r="I18" s="47" t="s">
        <v>40</v>
      </c>
      <c r="J18" s="14"/>
      <c r="K18" s="14"/>
      <c r="L18" s="14"/>
      <c r="M18" s="14"/>
      <c r="N18" s="14"/>
      <c r="O18" s="14"/>
      <c r="P18" s="14"/>
    </row>
    <row r="19" spans="1:16" s="92" customFormat="1" ht="50.25" customHeight="1">
      <c r="A19" s="83"/>
      <c r="B19" s="84">
        <v>2</v>
      </c>
      <c r="C19" s="85" t="b">
        <f>FALSE()</f>
        <v>0</v>
      </c>
      <c r="D19" s="86" t="s">
        <v>60</v>
      </c>
      <c r="E19" s="92" t="s">
        <v>64</v>
      </c>
      <c r="F19" s="88" t="s">
        <v>5</v>
      </c>
      <c r="G19" s="89" t="s">
        <v>46</v>
      </c>
      <c r="H19" s="90"/>
      <c r="I19" s="97" t="s">
        <v>65</v>
      </c>
      <c r="J19" s="85"/>
      <c r="K19" s="85"/>
      <c r="L19" s="85"/>
      <c r="M19" s="85"/>
      <c r="N19" s="85"/>
      <c r="O19" s="85"/>
      <c r="P19" s="85"/>
    </row>
    <row r="20" spans="1:16" s="92" customFormat="1" ht="25.5" customHeight="1">
      <c r="A20" s="83"/>
      <c r="B20" s="93">
        <v>2</v>
      </c>
      <c r="C20" s="94" t="b">
        <f>FALSE()</f>
        <v>0</v>
      </c>
      <c r="D20" s="95" t="s">
        <v>60</v>
      </c>
      <c r="E20" s="96" t="s">
        <v>66</v>
      </c>
      <c r="F20" s="88" t="s">
        <v>5</v>
      </c>
      <c r="G20" s="89" t="s">
        <v>46</v>
      </c>
      <c r="H20" s="90"/>
      <c r="I20" s="97"/>
      <c r="J20" s="94"/>
      <c r="K20" s="94"/>
      <c r="L20" s="94"/>
      <c r="M20" s="94"/>
      <c r="N20" s="94"/>
      <c r="O20" s="94"/>
      <c r="P20" s="94"/>
    </row>
    <row r="21" spans="1:16" s="92" customFormat="1" ht="25.5" customHeight="1">
      <c r="A21" s="83"/>
      <c r="B21" s="93">
        <v>2</v>
      </c>
      <c r="C21" s="94"/>
      <c r="D21" s="95" t="s">
        <v>60</v>
      </c>
      <c r="E21" s="96" t="s">
        <v>67</v>
      </c>
      <c r="F21" s="88" t="s">
        <v>5</v>
      </c>
      <c r="G21" s="89" t="s">
        <v>46</v>
      </c>
      <c r="H21" s="90"/>
      <c r="I21" s="97"/>
      <c r="J21" s="94"/>
      <c r="K21" s="94"/>
      <c r="L21" s="94"/>
      <c r="M21" s="94"/>
      <c r="N21" s="94"/>
      <c r="O21" s="94"/>
      <c r="P21" s="94"/>
    </row>
    <row r="22" spans="1:16" s="92" customFormat="1" ht="25.5" customHeight="1">
      <c r="A22" s="83"/>
      <c r="B22" s="84">
        <v>2</v>
      </c>
      <c r="C22" s="85" t="b">
        <f>FALSE()</f>
        <v>0</v>
      </c>
      <c r="D22" s="86" t="s">
        <v>60</v>
      </c>
      <c r="E22" s="87" t="s">
        <v>68</v>
      </c>
      <c r="F22" s="88" t="s">
        <v>45</v>
      </c>
      <c r="G22" s="89" t="s">
        <v>46</v>
      </c>
      <c r="H22" s="90"/>
      <c r="I22" s="97"/>
      <c r="J22" s="85"/>
      <c r="K22" s="85"/>
      <c r="L22" s="85"/>
      <c r="M22" s="85"/>
      <c r="N22" s="85"/>
      <c r="O22" s="85"/>
      <c r="P22" s="85"/>
    </row>
    <row r="23" spans="1:16" s="92" customFormat="1" ht="25.5" customHeight="1">
      <c r="A23" s="83"/>
      <c r="B23" s="93">
        <v>2</v>
      </c>
      <c r="C23" s="94" t="b">
        <f>FALSE()</f>
        <v>0</v>
      </c>
      <c r="D23" s="95" t="s">
        <v>60</v>
      </c>
      <c r="E23" s="96" t="s">
        <v>69</v>
      </c>
      <c r="F23" s="88" t="s">
        <v>45</v>
      </c>
      <c r="G23" s="89" t="s">
        <v>49</v>
      </c>
      <c r="H23" s="90"/>
      <c r="I23" s="97"/>
      <c r="J23" s="94"/>
      <c r="K23" s="94"/>
      <c r="L23" s="94"/>
      <c r="M23" s="94"/>
      <c r="N23" s="94"/>
      <c r="O23" s="94"/>
      <c r="P23" s="94"/>
    </row>
    <row r="24" spans="1:16" ht="4.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</row>
    <row r="25" spans="1:16" ht="39.75" customHeight="1">
      <c r="A25" s="14"/>
      <c r="B25" s="33"/>
      <c r="C25" s="34" t="b">
        <f>FALSE()</f>
        <v>0</v>
      </c>
      <c r="D25" s="35" t="s">
        <v>70</v>
      </c>
      <c r="E25" s="36" t="s">
        <v>71</v>
      </c>
      <c r="F25" s="37" t="s">
        <v>72</v>
      </c>
      <c r="G25" s="38" t="s">
        <v>35</v>
      </c>
      <c r="H25" s="39" t="s">
        <v>36</v>
      </c>
      <c r="I25" s="40" t="s">
        <v>5</v>
      </c>
      <c r="J25" s="41"/>
      <c r="K25" s="42"/>
      <c r="L25" s="42"/>
      <c r="M25" s="43">
        <f>COUNTA(E27:E73)</f>
        <v>28</v>
      </c>
      <c r="N25" s="44">
        <f>COUNTIF(F27:F73,"Completado")</f>
        <v>6</v>
      </c>
      <c r="O25" s="45">
        <f>IFERROR(COUNTIF(F27:F28,"Completado")/COUNTA(E27:E28),0)</f>
        <v>1</v>
      </c>
      <c r="P25" s="46" t="s">
        <v>63</v>
      </c>
    </row>
    <row r="26" spans="1:16" ht="18" customHeight="1">
      <c r="A26" s="47"/>
      <c r="B26" s="47" t="s">
        <v>20</v>
      </c>
      <c r="C26" s="47" t="s">
        <v>21</v>
      </c>
      <c r="D26" s="47" t="s">
        <v>38</v>
      </c>
      <c r="E26" s="47" t="s">
        <v>39</v>
      </c>
      <c r="F26" s="47" t="s">
        <v>27</v>
      </c>
      <c r="G26" s="47" t="s">
        <v>28</v>
      </c>
      <c r="H26" s="47" t="s">
        <v>30</v>
      </c>
      <c r="I26" s="47" t="s">
        <v>40</v>
      </c>
      <c r="J26" s="14"/>
      <c r="K26" s="14"/>
      <c r="L26" s="14"/>
      <c r="M26" s="14"/>
      <c r="N26" s="14"/>
      <c r="O26" s="14"/>
      <c r="P26" s="14"/>
    </row>
    <row r="27" spans="1:16" ht="25.5" customHeight="1">
      <c r="A27" s="48"/>
      <c r="B27" s="33">
        <v>2</v>
      </c>
      <c r="C27" s="34" t="b">
        <f>FALSE()</f>
        <v>0</v>
      </c>
      <c r="D27" s="49" t="s">
        <v>70</v>
      </c>
      <c r="E27" s="50" t="s">
        <v>73</v>
      </c>
      <c r="F27" s="40" t="s">
        <v>45</v>
      </c>
      <c r="G27" s="89" t="s">
        <v>49</v>
      </c>
      <c r="H27" s="42"/>
      <c r="I27" s="46"/>
      <c r="J27" s="34"/>
      <c r="K27" s="34"/>
      <c r="L27" s="34"/>
      <c r="M27" s="34"/>
      <c r="N27" s="34"/>
      <c r="O27" s="34"/>
      <c r="P27" s="34"/>
    </row>
    <row r="28" spans="1:16" ht="25.5" customHeight="1">
      <c r="A28" s="48"/>
      <c r="B28" s="33">
        <v>2</v>
      </c>
      <c r="C28" s="34" t="b">
        <f>FALSE()</f>
        <v>0</v>
      </c>
      <c r="D28" s="49" t="s">
        <v>70</v>
      </c>
      <c r="E28" s="50" t="s">
        <v>74</v>
      </c>
      <c r="F28" s="40" t="s">
        <v>45</v>
      </c>
      <c r="G28" s="89" t="s">
        <v>49</v>
      </c>
      <c r="H28" s="42"/>
      <c r="I28" s="46"/>
      <c r="J28" s="34"/>
      <c r="K28" s="34"/>
      <c r="L28" s="34"/>
      <c r="M28" s="34"/>
      <c r="N28" s="34"/>
      <c r="O28" s="34"/>
      <c r="P28" s="34"/>
    </row>
    <row r="29" spans="1:16" ht="4.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</row>
    <row r="30" spans="1:16" ht="39.75" customHeight="1">
      <c r="A30" s="14"/>
      <c r="B30" s="51"/>
      <c r="C30" s="52" t="b">
        <f>FALSE()</f>
        <v>0</v>
      </c>
      <c r="D30" s="55" t="s">
        <v>75</v>
      </c>
      <c r="E30" s="56" t="s">
        <v>76</v>
      </c>
      <c r="F30" s="57" t="s">
        <v>77</v>
      </c>
      <c r="G30" s="38" t="s">
        <v>78</v>
      </c>
      <c r="H30" s="39" t="s">
        <v>36</v>
      </c>
      <c r="I30" s="40" t="str">
        <f>IF(C30,"Completado","Pendiente")</f>
        <v>Pendiente</v>
      </c>
      <c r="J30" s="41"/>
      <c r="K30" s="42"/>
      <c r="L30" s="42"/>
      <c r="M30" s="43">
        <f>COUNTA(E32:E80)</f>
        <v>24</v>
      </c>
      <c r="N30" s="44">
        <f>COUNTIF(F32:F80,"Completado")</f>
        <v>4</v>
      </c>
      <c r="O30" s="45">
        <f>IFERROR(COUNTIF(F32:F35,"Completado")/COUNTA(E32:E35),0)</f>
        <v>0.25</v>
      </c>
      <c r="P30" s="46"/>
    </row>
    <row r="31" spans="1:16" ht="18" customHeight="1">
      <c r="A31" s="47"/>
      <c r="B31" s="47" t="s">
        <v>20</v>
      </c>
      <c r="C31" s="47" t="s">
        <v>21</v>
      </c>
      <c r="D31" s="47" t="s">
        <v>38</v>
      </c>
      <c r="E31" s="47" t="s">
        <v>39</v>
      </c>
      <c r="F31" s="47" t="s">
        <v>27</v>
      </c>
      <c r="G31" s="47" t="s">
        <v>28</v>
      </c>
      <c r="H31" s="47" t="s">
        <v>30</v>
      </c>
      <c r="I31" s="47" t="s">
        <v>40</v>
      </c>
      <c r="J31" s="14"/>
      <c r="K31" s="14"/>
      <c r="L31" s="14"/>
      <c r="M31" s="14"/>
      <c r="N31" s="14"/>
      <c r="O31" s="14"/>
      <c r="P31" s="14"/>
    </row>
    <row r="32" spans="1:16" ht="25.5" customHeight="1">
      <c r="A32" s="48"/>
      <c r="B32" s="33">
        <v>2</v>
      </c>
      <c r="C32" s="34" t="b">
        <f>FALSE()</f>
        <v>0</v>
      </c>
      <c r="D32" s="49" t="s">
        <v>75</v>
      </c>
      <c r="E32" s="50" t="s">
        <v>79</v>
      </c>
      <c r="F32" s="40" t="str">
        <f>IF(C32,"Completado","Pendiente")</f>
        <v>Pendiente</v>
      </c>
      <c r="G32" s="89" t="s">
        <v>80</v>
      </c>
      <c r="H32" s="42"/>
      <c r="I32" s="46"/>
      <c r="J32" s="34"/>
      <c r="K32" s="34"/>
      <c r="L32" s="34"/>
      <c r="M32" s="34"/>
      <c r="N32" s="34"/>
      <c r="O32" s="34"/>
      <c r="P32" s="34"/>
    </row>
    <row r="33" spans="1:16" ht="25.5" customHeight="1">
      <c r="A33" s="48"/>
      <c r="B33" s="51">
        <v>2</v>
      </c>
      <c r="C33" s="52" t="b">
        <f>FALSE()</f>
        <v>0</v>
      </c>
      <c r="D33" s="53" t="s">
        <v>75</v>
      </c>
      <c r="E33" s="54" t="s">
        <v>81</v>
      </c>
      <c r="F33" s="40" t="s">
        <v>45</v>
      </c>
      <c r="G33" s="89" t="s">
        <v>49</v>
      </c>
      <c r="H33" s="42"/>
      <c r="I33" s="46"/>
      <c r="J33" s="52"/>
      <c r="K33" s="52"/>
      <c r="L33" s="52"/>
      <c r="M33" s="52"/>
      <c r="N33" s="52"/>
      <c r="O33" s="52"/>
      <c r="P33" s="52"/>
    </row>
    <row r="34" spans="1:16" ht="25.5" customHeight="1">
      <c r="A34" s="48"/>
      <c r="B34" s="33">
        <v>0</v>
      </c>
      <c r="C34" s="34" t="b">
        <f>FALSE()</f>
        <v>0</v>
      </c>
      <c r="D34" s="49" t="s">
        <v>75</v>
      </c>
      <c r="E34" t="s">
        <v>82</v>
      </c>
      <c r="F34" s="40" t="str">
        <f>IF(C34,"Completado","Pendiente")</f>
        <v>Pendiente</v>
      </c>
      <c r="G34" s="89" t="s">
        <v>52</v>
      </c>
      <c r="H34" s="42"/>
      <c r="I34" t="s">
        <v>83</v>
      </c>
      <c r="J34" s="34"/>
      <c r="K34" s="34"/>
      <c r="L34" s="34"/>
      <c r="M34" s="34"/>
      <c r="N34" s="34"/>
      <c r="O34" s="34"/>
      <c r="P34" s="34"/>
    </row>
    <row r="35" spans="1:16" ht="25.5" customHeight="1">
      <c r="A35" s="48"/>
      <c r="B35" s="51">
        <v>1</v>
      </c>
      <c r="C35" s="52" t="b">
        <f>FALSE()</f>
        <v>0</v>
      </c>
      <c r="D35" s="53" t="s">
        <v>75</v>
      </c>
      <c r="E35" s="54" t="s">
        <v>84</v>
      </c>
      <c r="F35" s="40" t="str">
        <f>IF(C35,"Completado","Pendiente")</f>
        <v>Pendiente</v>
      </c>
      <c r="G35" s="89" t="s">
        <v>85</v>
      </c>
      <c r="H35" s="42"/>
      <c r="I35" s="46" t="s">
        <v>86</v>
      </c>
      <c r="J35" s="52"/>
      <c r="K35" s="52"/>
      <c r="L35" s="52"/>
      <c r="M35" s="52"/>
      <c r="N35" s="52"/>
      <c r="O35" s="52"/>
      <c r="P35" s="52"/>
    </row>
    <row r="36" spans="1:16" ht="4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  <row r="37" spans="1:16" ht="39.75" customHeight="1">
      <c r="A37" s="14"/>
      <c r="B37" s="33"/>
      <c r="C37" s="34" t="b">
        <f>FALSE()</f>
        <v>0</v>
      </c>
      <c r="D37" s="35" t="s">
        <v>87</v>
      </c>
      <c r="E37" s="36" t="s">
        <v>88</v>
      </c>
      <c r="F37" s="37" t="s">
        <v>89</v>
      </c>
      <c r="G37" s="38" t="s">
        <v>90</v>
      </c>
      <c r="H37" s="39" t="s">
        <v>36</v>
      </c>
      <c r="I37" s="40" t="s">
        <v>5</v>
      </c>
      <c r="J37" s="41"/>
      <c r="K37" s="42"/>
      <c r="L37" s="42"/>
      <c r="M37" s="43">
        <f>COUNTA(E39:E88)</f>
        <v>18</v>
      </c>
      <c r="N37" s="44">
        <f>COUNTIF(F39:F88,"Completado")</f>
        <v>3</v>
      </c>
      <c r="O37" s="45">
        <f>IFERROR(COUNTIF(F39:F43,"Completado")/COUNTA(E39:E43),0)</f>
        <v>0</v>
      </c>
      <c r="P37" s="82" t="s">
        <v>91</v>
      </c>
    </row>
    <row r="38" spans="1:16" ht="18" customHeight="1">
      <c r="A38" s="47"/>
      <c r="B38" s="47" t="s">
        <v>20</v>
      </c>
      <c r="C38" s="47" t="s">
        <v>21</v>
      </c>
      <c r="D38" s="47" t="s">
        <v>38</v>
      </c>
      <c r="E38" s="47" t="s">
        <v>39</v>
      </c>
      <c r="F38" s="47" t="s">
        <v>27</v>
      </c>
      <c r="G38" s="47" t="s">
        <v>28</v>
      </c>
      <c r="H38" s="47" t="s">
        <v>30</v>
      </c>
      <c r="I38" s="47" t="s">
        <v>40</v>
      </c>
      <c r="J38" s="14"/>
      <c r="K38" s="14"/>
      <c r="L38" s="14"/>
      <c r="M38" s="14"/>
      <c r="N38" s="14"/>
      <c r="O38" s="14"/>
      <c r="P38" s="14"/>
    </row>
    <row r="39" spans="1:16" ht="25.5" customHeight="1">
      <c r="A39" s="48"/>
      <c r="B39" s="33"/>
      <c r="C39" s="34" t="b">
        <f>FALSE()</f>
        <v>0</v>
      </c>
      <c r="D39" s="49" t="s">
        <v>87</v>
      </c>
      <c r="E39" s="50" t="s">
        <v>92</v>
      </c>
      <c r="F39" s="40" t="str">
        <f>IF(C39,"Completado","Pendiente")</f>
        <v>Pendiente</v>
      </c>
      <c r="G39" s="41"/>
      <c r="H39" s="42"/>
      <c r="I39" s="46"/>
      <c r="J39" s="34"/>
      <c r="K39" s="34"/>
      <c r="L39" s="34"/>
      <c r="M39" s="34"/>
      <c r="N39" s="34"/>
      <c r="O39" s="34"/>
      <c r="P39" s="34"/>
    </row>
    <row r="40" spans="1:16" ht="25.5" customHeight="1">
      <c r="A40" s="48"/>
      <c r="B40" s="51"/>
      <c r="C40" s="52" t="b">
        <f>FALSE()</f>
        <v>0</v>
      </c>
      <c r="D40" s="53" t="s">
        <v>87</v>
      </c>
      <c r="E40" s="54" t="s">
        <v>93</v>
      </c>
      <c r="F40" s="40" t="str">
        <f>IF(C40,"Completado","Pendiente")</f>
        <v>Pendiente</v>
      </c>
      <c r="G40" s="41"/>
      <c r="H40" s="42"/>
      <c r="I40" s="46"/>
      <c r="J40" s="52"/>
      <c r="K40" s="52"/>
      <c r="L40" s="52"/>
      <c r="M40" s="52"/>
      <c r="N40" s="52"/>
      <c r="O40" s="52"/>
      <c r="P40" s="52"/>
    </row>
    <row r="41" spans="1:16" ht="36">
      <c r="A41" s="48"/>
      <c r="B41" s="33"/>
      <c r="C41" s="34" t="b">
        <f>FALSE()</f>
        <v>0</v>
      </c>
      <c r="D41" s="49" t="s">
        <v>87</v>
      </c>
      <c r="E41" s="50" t="s">
        <v>94</v>
      </c>
      <c r="F41" s="40" t="str">
        <f>IF(C41,"Completado","Pendiente")</f>
        <v>Pendiente</v>
      </c>
      <c r="G41" s="41"/>
      <c r="H41" s="42"/>
      <c r="I41" s="46"/>
      <c r="J41" s="34"/>
      <c r="K41" s="34"/>
      <c r="L41" s="34"/>
      <c r="M41" s="34"/>
      <c r="N41" s="34"/>
      <c r="O41" s="34"/>
      <c r="P41" s="34"/>
    </row>
    <row r="42" spans="1:16" ht="25.5" customHeight="1">
      <c r="A42" s="48"/>
      <c r="B42" s="51"/>
      <c r="C42" s="52" t="b">
        <f>FALSE()</f>
        <v>0</v>
      </c>
      <c r="D42" s="53" t="s">
        <v>87</v>
      </c>
      <c r="E42" s="54" t="s">
        <v>95</v>
      </c>
      <c r="F42" s="40" t="str">
        <f>IF(C42,"Completado","Pendiente")</f>
        <v>Pendiente</v>
      </c>
      <c r="G42" s="41"/>
      <c r="H42" s="42"/>
      <c r="I42" s="46"/>
      <c r="J42" s="52"/>
      <c r="K42" s="52"/>
      <c r="L42" s="52"/>
      <c r="M42" s="52"/>
      <c r="N42" s="52"/>
      <c r="O42" s="52"/>
      <c r="P42" s="52"/>
    </row>
    <row r="43" spans="1:16" ht="25.5" customHeight="1">
      <c r="A43" s="48"/>
      <c r="B43" s="33"/>
      <c r="C43" s="34" t="b">
        <f>FALSE()</f>
        <v>0</v>
      </c>
      <c r="D43" s="49" t="s">
        <v>87</v>
      </c>
      <c r="E43" s="50" t="s">
        <v>96</v>
      </c>
      <c r="F43" s="40" t="str">
        <f>IF(C43,"Completado","Pendiente")</f>
        <v>Pendiente</v>
      </c>
      <c r="G43" s="41"/>
      <c r="H43" s="42"/>
      <c r="I43" s="46"/>
      <c r="J43" s="34"/>
      <c r="K43" s="34"/>
      <c r="L43" s="34"/>
      <c r="M43" s="34"/>
      <c r="N43" s="34"/>
      <c r="O43" s="34"/>
      <c r="P43" s="34"/>
    </row>
    <row r="44" spans="1:16" ht="4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</row>
    <row r="45" spans="1:16" ht="39.75" customHeight="1">
      <c r="A45" s="14"/>
      <c r="B45" s="51"/>
      <c r="C45" s="52" t="b">
        <f>FALSE()</f>
        <v>0</v>
      </c>
      <c r="D45" s="55" t="s">
        <v>97</v>
      </c>
      <c r="E45" s="56" t="s">
        <v>98</v>
      </c>
      <c r="F45" s="57" t="s">
        <v>99</v>
      </c>
      <c r="G45" s="38" t="s">
        <v>100</v>
      </c>
      <c r="H45" s="58" t="s">
        <v>101</v>
      </c>
      <c r="I45" s="40" t="s">
        <v>5</v>
      </c>
      <c r="J45" s="41"/>
      <c r="K45" s="42"/>
      <c r="L45" s="42"/>
      <c r="M45" s="43">
        <f>COUNTA(E47:E95)</f>
        <v>11</v>
      </c>
      <c r="N45" s="44">
        <f>COUNTIF(F47:F95,"Completado")</f>
        <v>3</v>
      </c>
      <c r="O45" s="45">
        <f>IFERROR(COUNTIF(F47:F50,"Completado")/COUNTA(E47:E50),0)</f>
        <v>0.75</v>
      </c>
      <c r="P45" s="46" t="s">
        <v>102</v>
      </c>
    </row>
    <row r="46" spans="1:16" ht="18" customHeight="1">
      <c r="A46" s="47"/>
      <c r="B46" s="47" t="s">
        <v>20</v>
      </c>
      <c r="C46" s="47" t="s">
        <v>21</v>
      </c>
      <c r="D46" s="47" t="s">
        <v>38</v>
      </c>
      <c r="E46" s="47" t="s">
        <v>39</v>
      </c>
      <c r="F46" s="47" t="s">
        <v>27</v>
      </c>
      <c r="G46" s="47" t="s">
        <v>28</v>
      </c>
      <c r="H46" s="47" t="s">
        <v>30</v>
      </c>
      <c r="I46" s="47" t="s">
        <v>40</v>
      </c>
      <c r="J46" s="14"/>
      <c r="K46" s="14"/>
      <c r="L46" s="14"/>
      <c r="M46" s="14"/>
      <c r="N46" s="14"/>
      <c r="O46" s="14"/>
      <c r="P46" s="14"/>
    </row>
    <row r="47" spans="1:16" ht="25.5" customHeight="1">
      <c r="A47" s="48"/>
      <c r="B47" s="33"/>
      <c r="C47" s="34" t="b">
        <f>FALSE()</f>
        <v>0</v>
      </c>
      <c r="D47" s="49" t="s">
        <v>97</v>
      </c>
      <c r="E47" s="50" t="s">
        <v>103</v>
      </c>
      <c r="F47" s="40" t="s">
        <v>45</v>
      </c>
      <c r="G47" s="41" t="s">
        <v>49</v>
      </c>
      <c r="H47" s="42"/>
      <c r="I47" s="46"/>
      <c r="J47" s="34"/>
      <c r="K47" s="34"/>
      <c r="L47" s="34"/>
      <c r="M47" s="34"/>
      <c r="N47" s="34"/>
      <c r="O47" s="34"/>
      <c r="P47" s="34"/>
    </row>
    <row r="48" spans="1:16" ht="25.5" customHeight="1">
      <c r="A48" s="48"/>
      <c r="B48" s="51"/>
      <c r="C48" s="52" t="b">
        <f>FALSE()</f>
        <v>0</v>
      </c>
      <c r="D48" s="53" t="s">
        <v>97</v>
      </c>
      <c r="E48" s="54" t="s">
        <v>104</v>
      </c>
      <c r="F48" s="40" t="s">
        <v>45</v>
      </c>
      <c r="G48" s="41" t="s">
        <v>49</v>
      </c>
      <c r="H48" s="42"/>
      <c r="I48" s="46"/>
      <c r="J48" s="52"/>
      <c r="K48" s="52"/>
      <c r="L48" s="52"/>
      <c r="M48" s="52"/>
      <c r="N48" s="52"/>
      <c r="O48" s="52"/>
      <c r="P48" s="52"/>
    </row>
    <row r="49" spans="1:16" ht="25.5" customHeight="1">
      <c r="A49" s="48"/>
      <c r="B49" s="33"/>
      <c r="C49" s="34" t="b">
        <f>FALSE()</f>
        <v>0</v>
      </c>
      <c r="D49" s="49" t="s">
        <v>97</v>
      </c>
      <c r="E49" s="50" t="s">
        <v>105</v>
      </c>
      <c r="F49" s="40" t="s">
        <v>45</v>
      </c>
      <c r="G49" s="41" t="s">
        <v>49</v>
      </c>
      <c r="H49" s="42"/>
      <c r="I49" s="46"/>
      <c r="J49" s="34"/>
      <c r="K49" s="34"/>
      <c r="L49" s="34"/>
      <c r="M49" s="34"/>
      <c r="N49" s="34"/>
      <c r="O49" s="34"/>
      <c r="P49" s="34"/>
    </row>
    <row r="50" spans="1:16" ht="25.5" customHeight="1">
      <c r="A50" s="48"/>
      <c r="B50" s="51"/>
      <c r="C50" s="52" t="b">
        <f>FALSE()</f>
        <v>0</v>
      </c>
      <c r="D50" s="53" t="s">
        <v>97</v>
      </c>
      <c r="E50" s="54" t="s">
        <v>106</v>
      </c>
      <c r="F50" s="40" t="s">
        <v>107</v>
      </c>
      <c r="G50" s="41" t="s">
        <v>49</v>
      </c>
      <c r="H50" s="42"/>
      <c r="I50" s="46"/>
      <c r="J50" s="52"/>
      <c r="K50" s="52"/>
      <c r="L50" s="52"/>
      <c r="M50" s="52"/>
      <c r="N50" s="52"/>
      <c r="O50" s="52"/>
      <c r="P50" s="52"/>
    </row>
    <row r="51" spans="1:16" ht="4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</row>
    <row r="52" spans="1:16" ht="39.75" customHeight="1">
      <c r="A52" s="14"/>
      <c r="B52" s="33"/>
      <c r="C52" s="34" t="b">
        <f>FALSE()</f>
        <v>0</v>
      </c>
      <c r="D52" s="35" t="s">
        <v>108</v>
      </c>
      <c r="E52" s="36" t="s">
        <v>109</v>
      </c>
      <c r="F52" s="37" t="s">
        <v>110</v>
      </c>
      <c r="G52" s="38" t="s">
        <v>111</v>
      </c>
      <c r="H52" s="58" t="s">
        <v>101</v>
      </c>
      <c r="I52" s="40" t="str">
        <f>IF(C52,"Completado","Pendiente")</f>
        <v>Pendiente</v>
      </c>
      <c r="J52" s="41"/>
      <c r="K52" s="42"/>
      <c r="L52" s="42"/>
      <c r="M52" s="43">
        <f>COUNTA(E54:E102)</f>
        <v>5</v>
      </c>
      <c r="N52" s="44">
        <f>COUNTIF(F54:F102,"Completado")</f>
        <v>0</v>
      </c>
      <c r="O52" s="45">
        <f>IFERROR(COUNTIF(F54:F57,"Completado")/COUNTA(E54:E57),0)</f>
        <v>0</v>
      </c>
      <c r="P52" s="46"/>
    </row>
    <row r="53" spans="1:16" ht="18" customHeight="1">
      <c r="A53" s="47"/>
      <c r="B53" s="47" t="s">
        <v>20</v>
      </c>
      <c r="C53" s="47" t="s">
        <v>21</v>
      </c>
      <c r="D53" s="47" t="s">
        <v>38</v>
      </c>
      <c r="E53" s="47" t="s">
        <v>39</v>
      </c>
      <c r="F53" s="47" t="s">
        <v>27</v>
      </c>
      <c r="G53" s="47" t="s">
        <v>28</v>
      </c>
      <c r="H53" s="47" t="s">
        <v>30</v>
      </c>
      <c r="I53" s="47" t="s">
        <v>40</v>
      </c>
      <c r="J53" s="14"/>
      <c r="K53" s="14"/>
      <c r="L53" s="14"/>
      <c r="M53" s="14"/>
      <c r="N53" s="14"/>
      <c r="O53" s="14"/>
      <c r="P53" s="14"/>
    </row>
    <row r="54" spans="1:16" ht="25.5" customHeight="1">
      <c r="A54" s="48"/>
      <c r="B54" s="33"/>
      <c r="C54" s="34" t="b">
        <f>FALSE()</f>
        <v>0</v>
      </c>
      <c r="D54" s="49" t="s">
        <v>108</v>
      </c>
      <c r="E54" s="50" t="s">
        <v>112</v>
      </c>
      <c r="F54" s="40" t="str">
        <f>IF(C54,"Completado","Pendiente")</f>
        <v>Pendiente</v>
      </c>
      <c r="G54" s="41"/>
      <c r="H54" s="42"/>
      <c r="I54" s="46"/>
      <c r="J54" s="34"/>
      <c r="K54" s="34"/>
      <c r="L54" s="34"/>
      <c r="M54" s="34"/>
      <c r="N54" s="34"/>
      <c r="O54" s="34"/>
      <c r="P54" s="34"/>
    </row>
    <row r="55" spans="1:16" ht="25.5" customHeight="1">
      <c r="A55" s="48"/>
      <c r="B55" s="51"/>
      <c r="C55" s="52" t="b">
        <f>FALSE()</f>
        <v>0</v>
      </c>
      <c r="D55" s="53" t="s">
        <v>108</v>
      </c>
      <c r="E55" s="54" t="s">
        <v>113</v>
      </c>
      <c r="F55" s="40" t="str">
        <f>IF(C55,"Completado","Pendiente")</f>
        <v>Pendiente</v>
      </c>
      <c r="G55" s="41"/>
      <c r="H55" s="42"/>
      <c r="I55" s="46"/>
      <c r="J55" s="52"/>
      <c r="K55" s="52"/>
      <c r="L55" s="52"/>
      <c r="M55" s="52"/>
      <c r="N55" s="52"/>
      <c r="O55" s="52"/>
      <c r="P55" s="52"/>
    </row>
    <row r="56" spans="1:16" ht="25.5" customHeight="1">
      <c r="A56" s="48"/>
      <c r="B56" s="33"/>
      <c r="C56" s="34" t="b">
        <f>FALSE()</f>
        <v>0</v>
      </c>
      <c r="D56" s="49" t="s">
        <v>108</v>
      </c>
      <c r="E56" s="50" t="s">
        <v>114</v>
      </c>
      <c r="F56" s="40" t="str">
        <f>IF(C56,"Completado","Pendiente")</f>
        <v>Pendiente</v>
      </c>
      <c r="G56" s="41"/>
      <c r="H56" s="42"/>
      <c r="I56" s="46"/>
      <c r="J56" s="34"/>
      <c r="K56" s="34"/>
      <c r="L56" s="34"/>
      <c r="M56" s="34"/>
      <c r="N56" s="34"/>
      <c r="O56" s="34"/>
      <c r="P56" s="34"/>
    </row>
    <row r="57" spans="1:16" ht="25.5" customHeight="1">
      <c r="A57" s="48"/>
      <c r="B57" s="51"/>
      <c r="C57" s="52" t="b">
        <f>FALSE()</f>
        <v>0</v>
      </c>
      <c r="D57" s="53" t="s">
        <v>108</v>
      </c>
      <c r="E57" s="54" t="s">
        <v>115</v>
      </c>
      <c r="F57" s="40" t="str">
        <f>IF(C57,"Completado","Pendiente")</f>
        <v>Pendiente</v>
      </c>
      <c r="G57" s="41"/>
      <c r="H57" s="42"/>
      <c r="I57" s="46"/>
      <c r="J57" s="52"/>
      <c r="K57" s="52"/>
      <c r="L57" s="52"/>
      <c r="M57" s="52"/>
      <c r="N57" s="52"/>
      <c r="O57" s="52"/>
      <c r="P57" s="52"/>
    </row>
    <row r="58" spans="1:16" ht="4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</row>
    <row r="59" spans="1:16" ht="4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</row>
    <row r="60" spans="1:16" ht="25.5" customHeight="1">
      <c r="A60" s="108" t="s">
        <v>116</v>
      </c>
      <c r="B60" s="108"/>
      <c r="C60" s="108"/>
      <c r="D60" s="108"/>
      <c r="E60" s="109" t="str" cm="1">
        <f t="array" ref="E60">"8 Epics  |  "&amp;SUMPRODUCT((E7:E58&lt;&gt;"")*1)&amp;" Subtareas activas"</f>
        <v>8 Epics  |  45 Subtareas activas</v>
      </c>
      <c r="F60" s="109"/>
      <c r="G60" s="109"/>
      <c r="H60" s="109"/>
      <c r="N60" s="44">
        <f>COUNTIF(F7:F58,"Completado")</f>
        <v>12</v>
      </c>
      <c r="O60" s="45">
        <f>IFERROR(COUNTIF(F7:F58,"Completado")/COUNTA(E7:E58),0)</f>
        <v>0.26666666666666666</v>
      </c>
    </row>
    <row r="61" spans="1:16" ht="15"/>
    <row r="62" spans="1:16" ht="15"/>
    <row r="63" spans="1:16" ht="15"/>
    <row r="64" spans="1:16" ht="15"/>
    <row r="65" ht="15"/>
    <row r="66" ht="15"/>
    <row r="67" ht="15"/>
    <row r="69" ht="15"/>
  </sheetData>
  <mergeCells count="5">
    <mergeCell ref="A2:P2"/>
    <mergeCell ref="A3:P3"/>
    <mergeCell ref="A4:P4"/>
    <mergeCell ref="A60:D60"/>
    <mergeCell ref="E60:H60"/>
  </mergeCells>
  <dataValidations count="1">
    <dataValidation type="list" allowBlank="1" sqref="I7 I17 I25 I30 F9:F15 I37 F39:F43 I45 F47:F50 I52 F54:F57 F19:F23 F32:F35 F27:F28" xr:uid="{00000000-0002-0000-0100-000000000000}">
      <formula1>"Pendiente,En Progreso,En Revisión,Completado,Bloqueado"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200E5"/>
  </sheetPr>
  <dimension ref="A1:P63"/>
  <sheetViews>
    <sheetView showGridLines="0" tabSelected="1" zoomScaleNormal="100" workbookViewId="0">
      <pane xSplit="4" ySplit="6" topLeftCell="E11" activePane="bottomRight" state="frozen"/>
      <selection pane="bottomRight" activeCell="G18" sqref="G18:G21"/>
      <selection pane="bottomLeft" activeCell="A7" sqref="A7"/>
      <selection pane="topRight" activeCell="E1" sqref="E1"/>
    </sheetView>
  </sheetViews>
  <sheetFormatPr defaultColWidth="8.5703125" defaultRowHeight="14.45"/>
  <cols>
    <col min="1" max="1" width="2" customWidth="1"/>
    <col min="2" max="2" width="4" customWidth="1"/>
    <col min="3" max="3" width="3" hidden="1" customWidth="1"/>
    <col min="4" max="4" width="12" customWidth="1"/>
    <col min="5" max="5" width="28" customWidth="1"/>
    <col min="6" max="6" width="36" customWidth="1"/>
    <col min="7" max="7" width="20" customWidth="1"/>
    <col min="8" max="8" width="12" customWidth="1"/>
    <col min="9" max="9" width="16" customWidth="1"/>
    <col min="10" max="10" width="18" customWidth="1"/>
    <col min="11" max="12" width="13" customWidth="1"/>
    <col min="13" max="13" width="9" customWidth="1"/>
    <col min="14" max="14" width="10" customWidth="1"/>
    <col min="15" max="15" width="9" customWidth="1"/>
    <col min="16" max="16" width="51.85546875" customWidth="1"/>
  </cols>
  <sheetData>
    <row r="1" spans="1:16" ht="7.5" customHeight="1"/>
    <row r="2" spans="1:16" ht="43.5" customHeight="1">
      <c r="A2" s="105" t="s">
        <v>18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ht="19.5" customHeight="1">
      <c r="A3" s="113" t="s">
        <v>12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16" ht="48" customHeight="1">
      <c r="A4" s="114" t="s">
        <v>117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</row>
    <row r="5" spans="1:16" ht="7.5" customHeight="1"/>
    <row r="6" spans="1:16" ht="27.75" customHeight="1">
      <c r="A6" s="59"/>
      <c r="B6" s="59" t="s">
        <v>20</v>
      </c>
      <c r="C6" s="59" t="s">
        <v>21</v>
      </c>
      <c r="D6" s="59" t="s">
        <v>22</v>
      </c>
      <c r="E6" s="59" t="s">
        <v>23</v>
      </c>
      <c r="F6" s="59" t="s">
        <v>24</v>
      </c>
      <c r="G6" s="59" t="s">
        <v>25</v>
      </c>
      <c r="H6" s="59" t="s">
        <v>26</v>
      </c>
      <c r="I6" s="59" t="s">
        <v>27</v>
      </c>
      <c r="J6" s="59" t="s">
        <v>28</v>
      </c>
      <c r="K6" s="59" t="s">
        <v>29</v>
      </c>
      <c r="L6" s="59" t="s">
        <v>30</v>
      </c>
      <c r="M6" s="59" t="s">
        <v>3</v>
      </c>
      <c r="N6" s="59" t="s">
        <v>4</v>
      </c>
      <c r="O6" s="59" t="s">
        <v>10</v>
      </c>
      <c r="P6" s="59" t="s">
        <v>31</v>
      </c>
    </row>
    <row r="7" spans="1:16" ht="39.75" customHeight="1">
      <c r="A7" s="21"/>
      <c r="B7" s="60"/>
      <c r="C7" s="61" t="b">
        <f>FALSE()</f>
        <v>0</v>
      </c>
      <c r="D7" s="62" t="s">
        <v>118</v>
      </c>
      <c r="E7" s="63" t="s">
        <v>119</v>
      </c>
      <c r="F7" s="64" t="s">
        <v>120</v>
      </c>
      <c r="G7" s="38" t="s">
        <v>121</v>
      </c>
      <c r="H7" s="39" t="s">
        <v>36</v>
      </c>
      <c r="I7" s="40" t="s">
        <v>5</v>
      </c>
      <c r="J7" s="41"/>
      <c r="K7" s="42"/>
      <c r="L7" s="42"/>
      <c r="M7" s="43">
        <f>COUNTA(E9:E62)</f>
        <v>46</v>
      </c>
      <c r="N7" s="44">
        <f>COUNTIF(F9:F62,"Completado")</f>
        <v>19</v>
      </c>
      <c r="O7" s="65">
        <f>IFERROR(COUNTIF(F9:F13,"Completado")/COUNTA(E9:E13),0)</f>
        <v>0.8</v>
      </c>
      <c r="P7" s="82" t="s">
        <v>122</v>
      </c>
    </row>
    <row r="8" spans="1:16" ht="18" customHeight="1">
      <c r="A8" s="66"/>
      <c r="B8" s="66" t="s">
        <v>20</v>
      </c>
      <c r="C8" s="66" t="s">
        <v>21</v>
      </c>
      <c r="D8" s="66" t="s">
        <v>38</v>
      </c>
      <c r="E8" s="66" t="s">
        <v>39</v>
      </c>
      <c r="F8" s="66" t="s">
        <v>27</v>
      </c>
      <c r="G8" s="66" t="s">
        <v>28</v>
      </c>
      <c r="H8" s="66" t="s">
        <v>30</v>
      </c>
      <c r="I8" s="66" t="s">
        <v>40</v>
      </c>
      <c r="J8" s="21"/>
      <c r="K8" s="21"/>
      <c r="L8" s="21"/>
      <c r="M8" s="21"/>
      <c r="N8" s="21"/>
      <c r="O8" s="21"/>
      <c r="P8" s="21"/>
    </row>
    <row r="9" spans="1:16" ht="25.5" customHeight="1">
      <c r="A9" s="48"/>
      <c r="B9" s="60"/>
      <c r="C9" s="61" t="b">
        <f>FALSE()</f>
        <v>0</v>
      </c>
      <c r="D9" s="67" t="s">
        <v>118</v>
      </c>
      <c r="E9" s="68" t="s">
        <v>123</v>
      </c>
      <c r="F9" s="40" t="s">
        <v>45</v>
      </c>
      <c r="G9" s="41" t="s">
        <v>49</v>
      </c>
      <c r="H9" s="42"/>
      <c r="I9" s="46"/>
      <c r="J9" s="61"/>
      <c r="K9" s="61"/>
      <c r="L9" s="61"/>
      <c r="M9" s="61"/>
      <c r="N9" s="61"/>
      <c r="O9" s="61"/>
      <c r="P9" s="61"/>
    </row>
    <row r="10" spans="1:16" ht="25.5" customHeight="1">
      <c r="A10" s="48"/>
      <c r="B10" s="51"/>
      <c r="C10" s="52" t="b">
        <f>FALSE()</f>
        <v>0</v>
      </c>
      <c r="D10" s="53" t="s">
        <v>118</v>
      </c>
      <c r="E10" s="54" t="s">
        <v>124</v>
      </c>
      <c r="F10" s="40" t="s">
        <v>45</v>
      </c>
      <c r="G10" s="41" t="s">
        <v>49</v>
      </c>
      <c r="H10" s="42"/>
      <c r="I10" s="46"/>
      <c r="J10" s="52"/>
      <c r="K10" s="52"/>
      <c r="L10" s="52"/>
      <c r="M10" s="52"/>
      <c r="N10" s="52"/>
      <c r="O10" s="52"/>
      <c r="P10" s="52"/>
    </row>
    <row r="11" spans="1:16" ht="25.5" customHeight="1">
      <c r="A11" s="48"/>
      <c r="B11" s="60"/>
      <c r="C11" s="61" t="b">
        <f>FALSE()</f>
        <v>0</v>
      </c>
      <c r="D11" s="67" t="s">
        <v>118</v>
      </c>
      <c r="E11" s="68" t="s">
        <v>125</v>
      </c>
      <c r="F11" s="40" t="s">
        <v>45</v>
      </c>
      <c r="G11" s="41" t="s">
        <v>49</v>
      </c>
      <c r="H11" s="42"/>
      <c r="I11" s="46"/>
      <c r="J11" s="61"/>
      <c r="K11" s="61"/>
      <c r="L11" s="61"/>
      <c r="M11" s="61"/>
      <c r="N11" s="61"/>
      <c r="O11" s="61"/>
      <c r="P11" s="61"/>
    </row>
    <row r="12" spans="1:16" ht="25.5" customHeight="1">
      <c r="A12" s="48"/>
      <c r="B12" s="51"/>
      <c r="C12" s="52" t="b">
        <f>FALSE()</f>
        <v>0</v>
      </c>
      <c r="D12" s="53" t="s">
        <v>118</v>
      </c>
      <c r="E12" s="54" t="s">
        <v>126</v>
      </c>
      <c r="F12" s="40" t="s">
        <v>45</v>
      </c>
      <c r="G12" s="41" t="s">
        <v>49</v>
      </c>
      <c r="H12" s="42"/>
      <c r="I12" s="46"/>
      <c r="J12" s="52"/>
      <c r="K12" s="52"/>
      <c r="L12" s="52"/>
      <c r="M12" s="52"/>
      <c r="N12" s="52"/>
      <c r="O12" s="52"/>
      <c r="P12" s="52"/>
    </row>
    <row r="13" spans="1:16" ht="25.5" customHeight="1">
      <c r="A13" s="48"/>
      <c r="B13" s="60"/>
      <c r="C13" s="61" t="b">
        <f>FALSE()</f>
        <v>0</v>
      </c>
      <c r="D13" s="67" t="s">
        <v>118</v>
      </c>
      <c r="E13" s="68" t="s">
        <v>127</v>
      </c>
      <c r="F13" s="40" t="s">
        <v>107</v>
      </c>
      <c r="G13" s="41"/>
      <c r="H13" s="42"/>
      <c r="I13" s="46"/>
      <c r="J13" s="61"/>
      <c r="K13" s="61"/>
      <c r="L13" s="61"/>
      <c r="M13" s="61"/>
      <c r="N13" s="61"/>
      <c r="O13" s="61"/>
      <c r="P13" s="61"/>
    </row>
    <row r="14" spans="1:16" ht="4.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</row>
    <row r="15" spans="1:16" ht="39.75" customHeight="1">
      <c r="A15" s="21"/>
      <c r="B15" s="51"/>
      <c r="C15" s="52" t="b">
        <f>FALSE()</f>
        <v>0</v>
      </c>
      <c r="D15" s="69" t="s">
        <v>128</v>
      </c>
      <c r="E15" s="56" t="s">
        <v>129</v>
      </c>
      <c r="F15" s="57" t="s">
        <v>130</v>
      </c>
      <c r="G15" s="38" t="s">
        <v>131</v>
      </c>
      <c r="H15" s="39" t="s">
        <v>36</v>
      </c>
      <c r="I15" s="40" t="s">
        <v>5</v>
      </c>
      <c r="J15" s="41"/>
      <c r="K15" s="42"/>
      <c r="L15" s="42"/>
      <c r="M15" s="43">
        <f>COUNTA(E17:E69)</f>
        <v>39</v>
      </c>
      <c r="N15" s="44">
        <f>COUNTIF(F17:F69,"Completado")</f>
        <v>15</v>
      </c>
      <c r="O15" s="65">
        <f>IFERROR(COUNTIF(F17:F20,"Completado")/COUNTA(E17:E20),0)</f>
        <v>0.75</v>
      </c>
      <c r="P15" s="82" t="s">
        <v>122</v>
      </c>
    </row>
    <row r="16" spans="1:16" ht="18" customHeight="1">
      <c r="A16" s="66"/>
      <c r="B16" s="66" t="s">
        <v>20</v>
      </c>
      <c r="C16" s="66" t="s">
        <v>21</v>
      </c>
      <c r="D16" s="66" t="s">
        <v>38</v>
      </c>
      <c r="E16" s="66" t="s">
        <v>39</v>
      </c>
      <c r="F16" s="66" t="s">
        <v>27</v>
      </c>
      <c r="G16" s="66" t="s">
        <v>28</v>
      </c>
      <c r="H16" s="66" t="s">
        <v>30</v>
      </c>
      <c r="I16" s="66" t="s">
        <v>40</v>
      </c>
      <c r="J16" s="21"/>
      <c r="K16" s="21"/>
      <c r="L16" s="21"/>
      <c r="M16" s="21"/>
      <c r="N16" s="21"/>
      <c r="O16" s="21"/>
      <c r="P16" s="21"/>
    </row>
    <row r="17" spans="1:16" ht="25.5" customHeight="1">
      <c r="A17" s="48"/>
      <c r="B17" s="60"/>
      <c r="C17" s="61" t="b">
        <f>FALSE()</f>
        <v>0</v>
      </c>
      <c r="D17" s="67" t="s">
        <v>128</v>
      </c>
      <c r="E17" s="68" t="s">
        <v>132</v>
      </c>
      <c r="F17" s="40" t="str">
        <f>IF(C17,"Completado","Pendiente")</f>
        <v>Pendiente</v>
      </c>
      <c r="G17" s="41"/>
      <c r="H17" s="42"/>
      <c r="I17" s="46"/>
      <c r="J17" s="61"/>
      <c r="K17" s="61"/>
      <c r="L17" s="61"/>
      <c r="M17" s="61"/>
      <c r="N17" s="61"/>
      <c r="O17" s="61"/>
      <c r="P17" s="61"/>
    </row>
    <row r="18" spans="1:16" ht="25.5" customHeight="1">
      <c r="A18" s="48"/>
      <c r="B18" s="51"/>
      <c r="C18" s="52" t="b">
        <f>FALSE()</f>
        <v>0</v>
      </c>
      <c r="D18" s="53" t="s">
        <v>128</v>
      </c>
      <c r="E18" s="54" t="s">
        <v>133</v>
      </c>
      <c r="F18" s="40" t="s">
        <v>45</v>
      </c>
      <c r="G18" s="41" t="s">
        <v>49</v>
      </c>
      <c r="H18" s="42"/>
      <c r="I18" s="46"/>
      <c r="J18" s="52" t="s">
        <v>134</v>
      </c>
      <c r="K18" s="52"/>
      <c r="L18" s="52"/>
      <c r="M18" s="52"/>
      <c r="N18" s="52"/>
      <c r="O18" s="52"/>
      <c r="P18" s="52"/>
    </row>
    <row r="19" spans="1:16" ht="25.5" customHeight="1">
      <c r="A19" s="48"/>
      <c r="B19" s="60"/>
      <c r="C19" s="61" t="b">
        <f>FALSE()</f>
        <v>0</v>
      </c>
      <c r="D19" s="67" t="s">
        <v>128</v>
      </c>
      <c r="E19" s="68" t="s">
        <v>135</v>
      </c>
      <c r="F19" s="40" t="s">
        <v>45</v>
      </c>
      <c r="G19" s="41" t="s">
        <v>49</v>
      </c>
      <c r="H19" s="42"/>
      <c r="I19" s="46"/>
      <c r="J19" s="61"/>
      <c r="K19" s="61"/>
      <c r="L19" s="61"/>
      <c r="M19" s="61"/>
      <c r="N19" s="61"/>
      <c r="O19" s="61"/>
      <c r="P19" s="61"/>
    </row>
    <row r="20" spans="1:16" ht="25.5" customHeight="1">
      <c r="A20" s="48"/>
      <c r="B20" s="51"/>
      <c r="C20" s="52" t="b">
        <f>FALSE()</f>
        <v>0</v>
      </c>
      <c r="D20" s="53" t="s">
        <v>128</v>
      </c>
      <c r="E20" s="54" t="s">
        <v>136</v>
      </c>
      <c r="F20" s="40" t="s">
        <v>45</v>
      </c>
      <c r="G20" s="41" t="s">
        <v>49</v>
      </c>
      <c r="H20" s="42"/>
      <c r="I20" s="46"/>
      <c r="J20" s="52"/>
      <c r="K20" s="52"/>
      <c r="L20" s="52"/>
      <c r="M20" s="52"/>
      <c r="N20" s="52"/>
      <c r="O20" s="52"/>
      <c r="P20" s="52"/>
    </row>
    <row r="21" spans="1:16" ht="4.5" customHeight="1">
      <c r="A21" s="52"/>
      <c r="B21" s="52"/>
      <c r="C21" s="52"/>
      <c r="D21" s="52"/>
      <c r="E21" s="52"/>
      <c r="F21" s="52"/>
      <c r="G21" s="41" t="s">
        <v>49</v>
      </c>
      <c r="H21" s="52"/>
      <c r="I21" s="52"/>
      <c r="J21" s="52"/>
      <c r="K21" s="52"/>
      <c r="L21" s="52"/>
      <c r="M21" s="52"/>
      <c r="N21" s="52"/>
      <c r="O21" s="52"/>
      <c r="P21" s="52"/>
    </row>
    <row r="22" spans="1:16" ht="39.75" customHeight="1">
      <c r="A22" s="21"/>
      <c r="B22" s="60"/>
      <c r="C22" s="61" t="b">
        <f>FALSE()</f>
        <v>0</v>
      </c>
      <c r="D22" s="62" t="s">
        <v>137</v>
      </c>
      <c r="E22" s="63" t="s">
        <v>138</v>
      </c>
      <c r="F22" s="64" t="s">
        <v>139</v>
      </c>
      <c r="G22" s="38" t="s">
        <v>140</v>
      </c>
      <c r="H22" s="39" t="s">
        <v>36</v>
      </c>
      <c r="I22" s="40" t="s">
        <v>5</v>
      </c>
      <c r="J22" s="41"/>
      <c r="K22" s="42"/>
      <c r="L22" s="42"/>
      <c r="M22" s="43">
        <f>COUNTA(E24:E76)</f>
        <v>33</v>
      </c>
      <c r="N22" s="44">
        <f>COUNTIF(F24:F76,"Completado")</f>
        <v>12</v>
      </c>
      <c r="O22" s="65">
        <f>IFERROR(COUNTIF(F24:F27,"Completado")/COUNTA(E24:E27),0)</f>
        <v>0.75</v>
      </c>
      <c r="P22" s="82" t="s">
        <v>122</v>
      </c>
    </row>
    <row r="23" spans="1:16" ht="18" customHeight="1">
      <c r="A23" s="66"/>
      <c r="B23" s="66" t="s">
        <v>20</v>
      </c>
      <c r="C23" s="66" t="s">
        <v>21</v>
      </c>
      <c r="D23" s="66" t="s">
        <v>38</v>
      </c>
      <c r="E23" s="66" t="s">
        <v>39</v>
      </c>
      <c r="F23" s="66" t="s">
        <v>27</v>
      </c>
      <c r="G23" s="66" t="s">
        <v>28</v>
      </c>
      <c r="H23" s="66" t="s">
        <v>30</v>
      </c>
      <c r="I23" s="66" t="s">
        <v>40</v>
      </c>
      <c r="J23" s="21"/>
      <c r="K23" s="21"/>
      <c r="L23" s="21"/>
      <c r="M23" s="21"/>
      <c r="N23" s="21"/>
      <c r="O23" s="21"/>
      <c r="P23" s="21"/>
    </row>
    <row r="24" spans="1:16" ht="25.5" customHeight="1">
      <c r="A24" s="48"/>
      <c r="B24" s="60"/>
      <c r="C24" s="61" t="b">
        <f>FALSE()</f>
        <v>0</v>
      </c>
      <c r="D24" s="67" t="s">
        <v>137</v>
      </c>
      <c r="E24" s="68" t="s">
        <v>141</v>
      </c>
      <c r="F24" s="40" t="s">
        <v>45</v>
      </c>
      <c r="G24" s="41" t="s">
        <v>49</v>
      </c>
      <c r="H24" s="42"/>
      <c r="I24" s="46"/>
      <c r="J24" s="61"/>
      <c r="K24" s="61"/>
      <c r="L24" s="61"/>
      <c r="M24" s="61"/>
      <c r="N24" s="61"/>
      <c r="O24" s="61"/>
      <c r="P24" s="61"/>
    </row>
    <row r="25" spans="1:16" ht="25.5" customHeight="1">
      <c r="A25" s="48"/>
      <c r="B25" s="51"/>
      <c r="C25" s="52" t="b">
        <f>FALSE()</f>
        <v>0</v>
      </c>
      <c r="D25" s="53" t="s">
        <v>137</v>
      </c>
      <c r="E25" s="54" t="s">
        <v>142</v>
      </c>
      <c r="F25" s="40" t="s">
        <v>107</v>
      </c>
      <c r="G25" s="41"/>
      <c r="H25" s="42"/>
      <c r="I25" s="46"/>
      <c r="J25" s="52"/>
      <c r="K25" s="52"/>
      <c r="L25" s="52"/>
      <c r="M25" s="52"/>
      <c r="N25" s="52"/>
      <c r="O25" s="52"/>
      <c r="P25" s="52"/>
    </row>
    <row r="26" spans="1:16" ht="25.5" customHeight="1">
      <c r="A26" s="48"/>
      <c r="B26" s="60"/>
      <c r="C26" s="61" t="b">
        <f>FALSE()</f>
        <v>0</v>
      </c>
      <c r="D26" s="67" t="s">
        <v>137</v>
      </c>
      <c r="E26" s="68" t="s">
        <v>143</v>
      </c>
      <c r="F26" s="40" t="s">
        <v>45</v>
      </c>
      <c r="G26" s="41" t="s">
        <v>49</v>
      </c>
      <c r="H26" s="42"/>
      <c r="I26" s="46"/>
      <c r="J26" s="61"/>
      <c r="K26" s="61"/>
      <c r="L26" s="61"/>
      <c r="M26" s="61"/>
      <c r="N26" s="61"/>
      <c r="O26" s="61"/>
      <c r="P26" s="61"/>
    </row>
    <row r="27" spans="1:16" ht="25.5" customHeight="1">
      <c r="A27" s="48"/>
      <c r="B27" s="51"/>
      <c r="C27" s="52" t="b">
        <f>FALSE()</f>
        <v>0</v>
      </c>
      <c r="D27" s="53" t="s">
        <v>137</v>
      </c>
      <c r="E27" s="54" t="s">
        <v>144</v>
      </c>
      <c r="F27" s="40" t="s">
        <v>45</v>
      </c>
      <c r="G27" s="41" t="s">
        <v>49</v>
      </c>
      <c r="H27" s="42"/>
      <c r="I27" s="46"/>
      <c r="J27" s="52"/>
      <c r="K27" s="52"/>
      <c r="L27" s="52"/>
      <c r="M27" s="52"/>
      <c r="N27" s="52"/>
      <c r="O27" s="52"/>
      <c r="P27" s="52"/>
    </row>
    <row r="28" spans="1:16" ht="4.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</row>
    <row r="29" spans="1:16" ht="39.75" customHeight="1">
      <c r="A29" s="21"/>
      <c r="B29" s="51"/>
      <c r="C29" s="52" t="b">
        <f>FALSE()</f>
        <v>0</v>
      </c>
      <c r="D29" s="69" t="s">
        <v>145</v>
      </c>
      <c r="E29" s="56" t="s">
        <v>146</v>
      </c>
      <c r="F29" s="57" t="s">
        <v>147</v>
      </c>
      <c r="G29" s="38" t="s">
        <v>148</v>
      </c>
      <c r="H29" s="39" t="s">
        <v>36</v>
      </c>
      <c r="I29" s="40" t="s">
        <v>5</v>
      </c>
      <c r="J29" s="41"/>
      <c r="K29" s="42"/>
      <c r="L29" s="42"/>
      <c r="M29" s="43">
        <f>COUNTA(E31:E83)</f>
        <v>27</v>
      </c>
      <c r="N29" s="44">
        <f>COUNTIF(F31:F83,"Completado")</f>
        <v>9</v>
      </c>
      <c r="O29" s="65">
        <f>IFERROR(COUNTIF(F31:F34,"Completado")/COUNTA(E31:E34),0)</f>
        <v>0.75</v>
      </c>
      <c r="P29" s="82" t="s">
        <v>122</v>
      </c>
    </row>
    <row r="30" spans="1:16" ht="18" customHeight="1">
      <c r="A30" s="66"/>
      <c r="B30" s="66" t="s">
        <v>20</v>
      </c>
      <c r="C30" s="66" t="s">
        <v>21</v>
      </c>
      <c r="D30" s="66" t="s">
        <v>38</v>
      </c>
      <c r="E30" s="66" t="s">
        <v>39</v>
      </c>
      <c r="F30" s="66" t="s">
        <v>27</v>
      </c>
      <c r="G30" s="66" t="s">
        <v>28</v>
      </c>
      <c r="H30" s="66" t="s">
        <v>30</v>
      </c>
      <c r="I30" s="66" t="s">
        <v>40</v>
      </c>
      <c r="J30" s="21"/>
      <c r="K30" s="21"/>
      <c r="L30" s="21"/>
      <c r="M30" s="21"/>
      <c r="N30" s="21"/>
      <c r="O30" s="21"/>
      <c r="P30" s="21"/>
    </row>
    <row r="31" spans="1:16" ht="25.5" customHeight="1">
      <c r="A31" s="48"/>
      <c r="B31" s="60"/>
      <c r="C31" s="61" t="b">
        <f>FALSE()</f>
        <v>0</v>
      </c>
      <c r="D31" s="67" t="s">
        <v>145</v>
      </c>
      <c r="E31" s="68" t="s">
        <v>149</v>
      </c>
      <c r="F31" s="40" t="s">
        <v>45</v>
      </c>
      <c r="G31" s="41" t="s">
        <v>49</v>
      </c>
      <c r="H31" s="42"/>
      <c r="I31" s="46"/>
      <c r="J31" s="61"/>
      <c r="K31" s="61"/>
      <c r="L31" s="61"/>
      <c r="M31" s="61"/>
      <c r="N31" s="61"/>
      <c r="O31" s="61"/>
      <c r="P31" s="61"/>
    </row>
    <row r="32" spans="1:16" ht="25.5" customHeight="1">
      <c r="A32" s="48"/>
      <c r="B32" s="51"/>
      <c r="C32" s="52" t="b">
        <f>FALSE()</f>
        <v>0</v>
      </c>
      <c r="D32" s="53" t="s">
        <v>145</v>
      </c>
      <c r="E32" s="54" t="s">
        <v>150</v>
      </c>
      <c r="F32" s="40" t="s">
        <v>45</v>
      </c>
      <c r="G32" s="41" t="s">
        <v>49</v>
      </c>
      <c r="H32" s="42"/>
      <c r="I32" s="46"/>
      <c r="J32" s="52"/>
      <c r="K32" s="52"/>
      <c r="L32" s="52"/>
      <c r="M32" s="52"/>
      <c r="N32" s="52"/>
      <c r="O32" s="52"/>
      <c r="P32" s="52"/>
    </row>
    <row r="33" spans="1:16" ht="25.5" customHeight="1">
      <c r="A33" s="48"/>
      <c r="B33" s="60"/>
      <c r="C33" s="61" t="b">
        <f>FALSE()</f>
        <v>0</v>
      </c>
      <c r="D33" s="67" t="s">
        <v>145</v>
      </c>
      <c r="E33" s="68" t="s">
        <v>151</v>
      </c>
      <c r="F33" s="40" t="s">
        <v>45</v>
      </c>
      <c r="G33" s="41" t="s">
        <v>49</v>
      </c>
      <c r="H33" s="42"/>
      <c r="I33" s="46"/>
      <c r="J33" s="61"/>
      <c r="K33" s="61"/>
      <c r="L33" s="61"/>
      <c r="M33" s="61"/>
      <c r="N33" s="61"/>
      <c r="O33" s="61"/>
      <c r="P33" s="61"/>
    </row>
    <row r="34" spans="1:16" ht="25.5" customHeight="1">
      <c r="A34" s="48"/>
      <c r="B34" s="51"/>
      <c r="C34" s="52" t="b">
        <f>FALSE()</f>
        <v>0</v>
      </c>
      <c r="D34" s="53" t="s">
        <v>145</v>
      </c>
      <c r="E34" s="54" t="s">
        <v>152</v>
      </c>
      <c r="F34" s="40" t="s">
        <v>5</v>
      </c>
      <c r="G34" s="41"/>
      <c r="H34" s="42"/>
      <c r="I34" s="46" t="s">
        <v>153</v>
      </c>
      <c r="J34" s="52"/>
      <c r="K34" s="52"/>
      <c r="L34" s="52"/>
      <c r="M34" s="52"/>
      <c r="N34" s="52"/>
      <c r="O34" s="52"/>
      <c r="P34" s="52"/>
    </row>
    <row r="35" spans="1:16" ht="4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 spans="1:16" ht="39.75" customHeight="1">
      <c r="A36" s="21"/>
      <c r="B36" s="60"/>
      <c r="C36" s="61" t="b">
        <f>FALSE()</f>
        <v>0</v>
      </c>
      <c r="D36" s="62" t="s">
        <v>154</v>
      </c>
      <c r="E36" s="63" t="s">
        <v>155</v>
      </c>
      <c r="F36" s="64" t="s">
        <v>156</v>
      </c>
      <c r="G36" s="38" t="s">
        <v>121</v>
      </c>
      <c r="H36" s="39" t="s">
        <v>36</v>
      </c>
      <c r="I36" s="40" t="s">
        <v>5</v>
      </c>
      <c r="J36" s="41"/>
      <c r="K36" s="42"/>
      <c r="L36" s="42"/>
      <c r="M36" s="43">
        <f>COUNTA(E38:E90)</f>
        <v>21</v>
      </c>
      <c r="N36" s="44">
        <f>COUNTIF(F38:F90,"Completado")</f>
        <v>6</v>
      </c>
      <c r="O36" s="65">
        <f>IFERROR(COUNTIF(F38:F40,"Completado")/COUNTA(E38:E40),0)</f>
        <v>1</v>
      </c>
      <c r="P36" s="82" t="s">
        <v>157</v>
      </c>
    </row>
    <row r="37" spans="1:16" ht="18" customHeight="1">
      <c r="A37" s="66"/>
      <c r="B37" s="66" t="s">
        <v>20</v>
      </c>
      <c r="C37" s="66" t="s">
        <v>21</v>
      </c>
      <c r="D37" s="66" t="s">
        <v>38</v>
      </c>
      <c r="E37" s="66" t="s">
        <v>39</v>
      </c>
      <c r="F37" s="66" t="s">
        <v>27</v>
      </c>
      <c r="G37" s="66" t="s">
        <v>28</v>
      </c>
      <c r="H37" s="66" t="s">
        <v>30</v>
      </c>
      <c r="I37" s="66" t="s">
        <v>40</v>
      </c>
      <c r="J37" s="21"/>
      <c r="K37" s="21"/>
      <c r="L37" s="21"/>
      <c r="M37" s="21"/>
      <c r="N37" s="21"/>
      <c r="O37" s="21"/>
      <c r="P37" s="21"/>
    </row>
    <row r="38" spans="1:16" ht="25.5" customHeight="1">
      <c r="A38" s="48"/>
      <c r="B38" s="60"/>
      <c r="C38" s="61" t="b">
        <f>FALSE()</f>
        <v>0</v>
      </c>
      <c r="D38" s="67" t="s">
        <v>154</v>
      </c>
      <c r="E38" s="68" t="s">
        <v>158</v>
      </c>
      <c r="F38" s="40" t="s">
        <v>45</v>
      </c>
      <c r="G38" s="41" t="s">
        <v>49</v>
      </c>
      <c r="H38" s="42"/>
      <c r="I38" s="46"/>
      <c r="J38" s="61"/>
      <c r="K38" s="61"/>
      <c r="L38" s="61"/>
      <c r="M38" s="61"/>
      <c r="N38" s="61"/>
      <c r="O38" s="61"/>
      <c r="P38" s="61"/>
    </row>
    <row r="39" spans="1:16" ht="25.5" customHeight="1">
      <c r="A39" s="48"/>
      <c r="B39" s="51"/>
      <c r="C39" s="52" t="b">
        <f>FALSE()</f>
        <v>0</v>
      </c>
      <c r="D39" s="53" t="s">
        <v>154</v>
      </c>
      <c r="E39" s="54" t="s">
        <v>159</v>
      </c>
      <c r="F39" s="40" t="s">
        <v>45</v>
      </c>
      <c r="G39" s="41" t="s">
        <v>49</v>
      </c>
      <c r="H39" s="42"/>
      <c r="I39" s="46" t="s">
        <v>160</v>
      </c>
      <c r="J39" s="52"/>
      <c r="K39" s="52"/>
      <c r="L39" s="52"/>
      <c r="M39" s="52"/>
      <c r="N39" s="52"/>
      <c r="O39" s="52"/>
      <c r="P39" s="52"/>
    </row>
    <row r="40" spans="1:16" ht="25.5" customHeight="1">
      <c r="A40" s="48"/>
      <c r="B40" s="60"/>
      <c r="C40" s="61" t="b">
        <f>FALSE()</f>
        <v>0</v>
      </c>
      <c r="D40" s="67" t="s">
        <v>154</v>
      </c>
      <c r="E40" s="68" t="s">
        <v>161</v>
      </c>
      <c r="F40" s="40" t="s">
        <v>45</v>
      </c>
      <c r="G40" s="41" t="s">
        <v>49</v>
      </c>
      <c r="H40" s="42"/>
      <c r="I40" s="46"/>
      <c r="J40" s="61"/>
      <c r="K40" s="61"/>
      <c r="L40" s="61"/>
      <c r="M40" s="61"/>
      <c r="N40" s="61"/>
      <c r="O40" s="61"/>
      <c r="P40" s="61"/>
    </row>
    <row r="41" spans="1:16" ht="4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16" ht="39.75" customHeight="1">
      <c r="A42" s="21"/>
      <c r="B42" s="51"/>
      <c r="C42" s="52" t="b">
        <f>FALSE()</f>
        <v>0</v>
      </c>
      <c r="D42" s="69" t="s">
        <v>162</v>
      </c>
      <c r="E42" s="56" t="s">
        <v>163</v>
      </c>
      <c r="F42" s="57" t="s">
        <v>164</v>
      </c>
      <c r="G42" s="38" t="s">
        <v>165</v>
      </c>
      <c r="H42" s="39" t="s">
        <v>36</v>
      </c>
      <c r="I42" s="40" t="str">
        <f>IF(C42,"Completado","Pendiente")</f>
        <v>Pendiente</v>
      </c>
      <c r="J42" s="41"/>
      <c r="K42" s="42"/>
      <c r="L42" s="42"/>
      <c r="M42" s="43">
        <f>COUNTA(E44:E97)</f>
        <v>16</v>
      </c>
      <c r="N42" s="44">
        <f>COUNTIF(F44:F97,"Completado")</f>
        <v>3</v>
      </c>
      <c r="O42" s="65">
        <f>IFERROR(COUNTIF(F44:F97,"Completado")/COUNTA(E44:E97),0)</f>
        <v>0.1875</v>
      </c>
      <c r="P42" s="46"/>
    </row>
    <row r="43" spans="1:16" ht="18" customHeight="1">
      <c r="A43" s="66"/>
      <c r="B43" s="66" t="s">
        <v>20</v>
      </c>
      <c r="C43" s="66" t="s">
        <v>21</v>
      </c>
      <c r="D43" s="66" t="s">
        <v>38</v>
      </c>
      <c r="E43" s="66" t="s">
        <v>39</v>
      </c>
      <c r="F43" s="66" t="s">
        <v>27</v>
      </c>
      <c r="G43" s="66" t="s">
        <v>28</v>
      </c>
      <c r="H43" s="66" t="s">
        <v>30</v>
      </c>
      <c r="I43" s="66" t="s">
        <v>40</v>
      </c>
      <c r="J43" s="21"/>
      <c r="K43" s="21"/>
      <c r="L43" s="21"/>
      <c r="M43" s="21"/>
      <c r="N43" s="21"/>
      <c r="O43" s="21"/>
      <c r="P43" s="21"/>
    </row>
    <row r="44" spans="1:16" ht="25.5" customHeight="1">
      <c r="A44" s="48"/>
      <c r="B44" s="60"/>
      <c r="C44" s="61" t="b">
        <f>FALSE()</f>
        <v>0</v>
      </c>
      <c r="D44" s="67" t="s">
        <v>162</v>
      </c>
      <c r="E44" s="68" t="s">
        <v>166</v>
      </c>
      <c r="F44" s="40" t="str">
        <f>IF(C44,"Completado","Pendiente")</f>
        <v>Pendiente</v>
      </c>
      <c r="G44" s="41"/>
      <c r="H44" s="42"/>
      <c r="I44" s="46"/>
      <c r="J44" s="61"/>
      <c r="K44" s="61"/>
      <c r="L44" s="61"/>
      <c r="M44" s="61"/>
      <c r="N44" s="61"/>
      <c r="O44" s="61"/>
      <c r="P44" s="61"/>
    </row>
    <row r="45" spans="1:16" ht="25.5" customHeight="1">
      <c r="A45" s="48"/>
      <c r="B45" s="51"/>
      <c r="C45" s="52" t="b">
        <f>FALSE()</f>
        <v>0</v>
      </c>
      <c r="D45" s="53" t="s">
        <v>162</v>
      </c>
      <c r="E45" s="54" t="s">
        <v>167</v>
      </c>
      <c r="F45" s="40" t="str">
        <f>IF(C45,"Completado","Pendiente")</f>
        <v>Pendiente</v>
      </c>
      <c r="G45" s="41"/>
      <c r="H45" s="42"/>
      <c r="I45" s="46"/>
      <c r="J45" s="52"/>
      <c r="K45" s="52"/>
      <c r="L45" s="52"/>
      <c r="M45" s="52"/>
      <c r="N45" s="52"/>
      <c r="O45" s="52"/>
      <c r="P45" s="52"/>
    </row>
    <row r="46" spans="1:16" ht="25.5" customHeight="1">
      <c r="A46" s="48"/>
      <c r="B46" s="60"/>
      <c r="C46" s="61" t="b">
        <f>FALSE()</f>
        <v>0</v>
      </c>
      <c r="D46" s="67" t="s">
        <v>162</v>
      </c>
      <c r="E46" s="68" t="s">
        <v>168</v>
      </c>
      <c r="F46" s="40" t="str">
        <f>IF(C46,"Completado","Pendiente")</f>
        <v>Pendiente</v>
      </c>
      <c r="G46" s="41"/>
      <c r="H46" s="42"/>
      <c r="I46" s="46"/>
      <c r="J46" s="61"/>
      <c r="K46" s="61"/>
      <c r="L46" s="61"/>
      <c r="M46" s="61"/>
      <c r="N46" s="61"/>
      <c r="O46" s="61"/>
      <c r="P46" s="61"/>
    </row>
    <row r="47" spans="1:16" ht="25.5" customHeight="1">
      <c r="A47" s="48"/>
      <c r="B47" s="51"/>
      <c r="C47" s="52" t="b">
        <f>FALSE()</f>
        <v>0</v>
      </c>
      <c r="D47" s="53" t="s">
        <v>162</v>
      </c>
      <c r="E47" s="54" t="s">
        <v>169</v>
      </c>
      <c r="F47" s="40" t="str">
        <f>IF(C47,"Completado","Pendiente")</f>
        <v>Pendiente</v>
      </c>
      <c r="G47" s="41"/>
      <c r="H47" s="42"/>
      <c r="I47" s="46"/>
      <c r="J47" s="52"/>
      <c r="K47" s="52"/>
      <c r="L47" s="52"/>
      <c r="M47" s="52"/>
      <c r="N47" s="52"/>
      <c r="O47" s="52"/>
      <c r="P47" s="52"/>
    </row>
    <row r="48" spans="1:16" ht="4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16" ht="39.75" customHeight="1">
      <c r="A49" s="21"/>
      <c r="B49" s="60"/>
      <c r="C49" s="61" t="b">
        <f>FALSE()</f>
        <v>0</v>
      </c>
      <c r="D49" s="62" t="s">
        <v>170</v>
      </c>
      <c r="E49" s="63" t="s">
        <v>171</v>
      </c>
      <c r="F49" s="64" t="s">
        <v>172</v>
      </c>
      <c r="G49" s="38" t="s">
        <v>148</v>
      </c>
      <c r="H49" s="58" t="s">
        <v>101</v>
      </c>
      <c r="I49" s="40" t="s">
        <v>5</v>
      </c>
      <c r="J49" s="41"/>
      <c r="K49" s="42"/>
      <c r="L49" s="42"/>
      <c r="M49" s="43">
        <f>COUNTA(E51:E103)</f>
        <v>10</v>
      </c>
      <c r="N49" s="44">
        <f>COUNTIF(F51:F103,"Completado")</f>
        <v>3</v>
      </c>
      <c r="O49" s="65">
        <f>IFERROR(COUNTIF(F51:F103,"Completado")/COUNTA(E51:E103),0)</f>
        <v>0.3</v>
      </c>
      <c r="P49" s="82" t="s">
        <v>173</v>
      </c>
    </row>
    <row r="50" spans="1:16" ht="18" customHeight="1">
      <c r="A50" s="66"/>
      <c r="B50" s="66" t="s">
        <v>20</v>
      </c>
      <c r="C50" s="66" t="s">
        <v>21</v>
      </c>
      <c r="D50" s="66" t="s">
        <v>38</v>
      </c>
      <c r="E50" s="66" t="s">
        <v>39</v>
      </c>
      <c r="F50" s="66" t="s">
        <v>27</v>
      </c>
      <c r="G50" s="66" t="s">
        <v>28</v>
      </c>
      <c r="H50" s="66" t="s">
        <v>30</v>
      </c>
      <c r="I50" s="66" t="s">
        <v>40</v>
      </c>
      <c r="J50" s="21"/>
      <c r="K50" s="21"/>
      <c r="L50" s="21"/>
      <c r="M50" s="21"/>
      <c r="N50" s="21"/>
      <c r="O50" s="21"/>
      <c r="P50" s="21"/>
    </row>
    <row r="51" spans="1:16" ht="25.5" customHeight="1">
      <c r="A51" s="48"/>
      <c r="B51" s="60"/>
      <c r="C51" s="61" t="b">
        <f>FALSE()</f>
        <v>0</v>
      </c>
      <c r="D51" s="67" t="s">
        <v>170</v>
      </c>
      <c r="E51" s="68" t="s">
        <v>174</v>
      </c>
      <c r="F51" s="40" t="s">
        <v>45</v>
      </c>
      <c r="G51" s="41" t="s">
        <v>49</v>
      </c>
      <c r="H51" s="42"/>
      <c r="I51" s="46"/>
      <c r="J51" s="61"/>
      <c r="K51" s="61"/>
      <c r="L51" s="61"/>
      <c r="M51" s="61"/>
      <c r="N51" s="61"/>
      <c r="O51" s="61"/>
      <c r="P51" s="61"/>
    </row>
    <row r="52" spans="1:16" ht="25.5" customHeight="1">
      <c r="A52" s="48"/>
      <c r="B52" s="51"/>
      <c r="C52" s="52" t="b">
        <f>FALSE()</f>
        <v>0</v>
      </c>
      <c r="D52" s="53" t="s">
        <v>170</v>
      </c>
      <c r="E52" s="54" t="s">
        <v>175</v>
      </c>
      <c r="F52" s="40" t="s">
        <v>45</v>
      </c>
      <c r="G52" s="41" t="s">
        <v>49</v>
      </c>
      <c r="H52" s="42"/>
      <c r="I52" s="46"/>
      <c r="J52" s="52"/>
      <c r="K52" s="52"/>
      <c r="L52" s="52"/>
      <c r="M52" s="52"/>
      <c r="N52" s="52"/>
      <c r="O52" s="52"/>
      <c r="P52" s="52"/>
    </row>
    <row r="53" spans="1:16" ht="25.5" customHeight="1">
      <c r="A53" s="48"/>
      <c r="B53" s="60"/>
      <c r="C53" s="61" t="b">
        <f>FALSE()</f>
        <v>0</v>
      </c>
      <c r="D53" s="67" t="s">
        <v>170</v>
      </c>
      <c r="E53" s="68" t="s">
        <v>176</v>
      </c>
      <c r="F53" s="40" t="s">
        <v>45</v>
      </c>
      <c r="G53" s="41" t="s">
        <v>49</v>
      </c>
      <c r="H53" s="42"/>
      <c r="I53" s="46"/>
      <c r="J53" s="61"/>
      <c r="K53" s="61"/>
      <c r="L53" s="61"/>
      <c r="M53" s="61"/>
      <c r="N53" s="61"/>
      <c r="O53" s="61"/>
      <c r="P53" s="61"/>
    </row>
    <row r="54" spans="1:16" ht="4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 spans="1:16" ht="39.75" customHeight="1">
      <c r="A55" s="21"/>
      <c r="B55" s="51"/>
      <c r="C55" s="52" t="b">
        <f>FALSE()</f>
        <v>0</v>
      </c>
      <c r="D55" s="69" t="s">
        <v>177</v>
      </c>
      <c r="E55" s="56" t="s">
        <v>178</v>
      </c>
      <c r="F55" s="57" t="s">
        <v>179</v>
      </c>
      <c r="G55" s="38" t="s">
        <v>180</v>
      </c>
      <c r="H55" s="58" t="s">
        <v>101</v>
      </c>
      <c r="I55" s="40" t="s">
        <v>5</v>
      </c>
      <c r="J55" s="41"/>
      <c r="K55" s="42"/>
      <c r="L55" s="42"/>
      <c r="M55" s="43">
        <f>COUNTA(E57:E110)</f>
        <v>5</v>
      </c>
      <c r="N55" s="44">
        <f>COUNTIF(F57:F110,"Completado")</f>
        <v>0</v>
      </c>
      <c r="O55" s="65">
        <f>IFERROR(COUNTIF(F57:F110,"Completado")/COUNTA(E57:E110),0)</f>
        <v>0</v>
      </c>
      <c r="P55" s="82" t="s">
        <v>181</v>
      </c>
    </row>
    <row r="56" spans="1:16" ht="18" customHeight="1">
      <c r="A56" s="66"/>
      <c r="B56" s="66" t="s">
        <v>20</v>
      </c>
      <c r="C56" s="66" t="s">
        <v>21</v>
      </c>
      <c r="D56" s="66" t="s">
        <v>38</v>
      </c>
      <c r="E56" s="66" t="s">
        <v>39</v>
      </c>
      <c r="F56" s="66" t="s">
        <v>27</v>
      </c>
      <c r="G56" s="66" t="s">
        <v>28</v>
      </c>
      <c r="H56" s="66" t="s">
        <v>30</v>
      </c>
      <c r="I56" s="66" t="s">
        <v>40</v>
      </c>
      <c r="J56" s="21"/>
      <c r="K56" s="21"/>
      <c r="L56" s="21"/>
      <c r="M56" s="21"/>
      <c r="N56" s="21"/>
      <c r="O56" s="21"/>
      <c r="P56" s="21"/>
    </row>
    <row r="57" spans="1:16" ht="25.5" customHeight="1">
      <c r="A57" s="48"/>
      <c r="B57" s="60"/>
      <c r="C57" s="61" t="b">
        <f>FALSE()</f>
        <v>0</v>
      </c>
      <c r="D57" s="67" t="s">
        <v>177</v>
      </c>
      <c r="E57" s="68" t="s">
        <v>182</v>
      </c>
      <c r="F57" s="40" t="s">
        <v>107</v>
      </c>
      <c r="G57" s="41"/>
      <c r="H57" s="42"/>
      <c r="I57" s="46"/>
      <c r="J57" s="61"/>
      <c r="K57" s="61"/>
      <c r="L57" s="61"/>
      <c r="M57" s="61"/>
      <c r="N57" s="61"/>
      <c r="O57" s="61"/>
      <c r="P57" s="61"/>
    </row>
    <row r="58" spans="1:16" ht="25.5" customHeight="1">
      <c r="A58" s="48"/>
      <c r="B58" s="51"/>
      <c r="C58" s="52" t="b">
        <f>FALSE()</f>
        <v>0</v>
      </c>
      <c r="D58" s="53" t="s">
        <v>177</v>
      </c>
      <c r="E58" s="54" t="s">
        <v>183</v>
      </c>
      <c r="F58" s="40" t="s">
        <v>107</v>
      </c>
      <c r="G58" s="41"/>
      <c r="H58" s="42"/>
      <c r="I58" s="46"/>
      <c r="J58" s="52"/>
      <c r="K58" s="52"/>
      <c r="L58" s="52"/>
      <c r="M58" s="52"/>
      <c r="N58" s="52"/>
      <c r="O58" s="52"/>
      <c r="P58" s="52"/>
    </row>
    <row r="59" spans="1:16" ht="25.5" customHeight="1">
      <c r="A59" s="48"/>
      <c r="B59" s="60"/>
      <c r="C59" s="61" t="b">
        <f>FALSE()</f>
        <v>0</v>
      </c>
      <c r="D59" s="67" t="s">
        <v>177</v>
      </c>
      <c r="E59" s="68" t="s">
        <v>184</v>
      </c>
      <c r="F59" s="40" t="s">
        <v>107</v>
      </c>
      <c r="G59" s="41"/>
      <c r="H59" s="42"/>
      <c r="I59" s="46"/>
      <c r="J59" s="61"/>
      <c r="K59" s="61"/>
      <c r="L59" s="61"/>
      <c r="M59" s="61"/>
      <c r="N59" s="61"/>
      <c r="O59" s="61"/>
      <c r="P59" s="61"/>
    </row>
    <row r="60" spans="1:16" ht="25.5" customHeight="1">
      <c r="A60" s="48"/>
      <c r="B60" s="51"/>
      <c r="C60" s="52" t="b">
        <f>FALSE()</f>
        <v>0</v>
      </c>
      <c r="D60" s="53" t="s">
        <v>177</v>
      </c>
      <c r="E60" s="54" t="s">
        <v>185</v>
      </c>
      <c r="F60" s="40" t="str">
        <f>IF(C60,"Completado","Pendiente")</f>
        <v>Pendiente</v>
      </c>
      <c r="G60" s="41"/>
      <c r="H60" s="42"/>
      <c r="I60" s="46"/>
      <c r="J60" s="52"/>
      <c r="K60" s="52"/>
      <c r="L60" s="52"/>
      <c r="M60" s="52"/>
      <c r="N60" s="52"/>
      <c r="O60" s="52"/>
      <c r="P60" s="52"/>
    </row>
    <row r="61" spans="1:16" ht="4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</row>
    <row r="62" spans="1:16" ht="25.5" customHeight="1">
      <c r="A62" s="108" t="s">
        <v>116</v>
      </c>
      <c r="B62" s="108"/>
      <c r="C62" s="108"/>
      <c r="D62" s="108"/>
      <c r="E62" s="115" t="str">
        <f>"8 Epics  |  "&amp;SUMPRODUCT((E7:E60&lt;&gt;"")*1)&amp;" Subtareas activas"</f>
        <v>8 Epics  |  47 Subtareas activas</v>
      </c>
      <c r="F62" s="115"/>
      <c r="G62" s="115"/>
      <c r="H62" s="115"/>
      <c r="N62" s="44">
        <f>COUNTIF(F7:F60,"Completado")</f>
        <v>19</v>
      </c>
      <c r="O62" s="65">
        <f>IFERROR(COUNTIF(F7:F60,"Completado")/COUNTA(E7:E60),0)</f>
        <v>0.40425531914893614</v>
      </c>
    </row>
    <row r="63" spans="1:16" ht="15"/>
  </sheetData>
  <mergeCells count="5">
    <mergeCell ref="A2:P2"/>
    <mergeCell ref="A3:P3"/>
    <mergeCell ref="A4:P4"/>
    <mergeCell ref="A62:D62"/>
    <mergeCell ref="E62:H62"/>
  </mergeCells>
  <dataValidations count="1">
    <dataValidation type="list" allowBlank="1" sqref="I7 F9:F13 I15 F17:F20 I22 F24:F27 I29 F31:F34 I36 F38:F40 I42 F44:F47 I49 F51:F53 I55 F57:F60" xr:uid="{00000000-0002-0000-0200-000000000000}">
      <formula1>"Pendiente,En Progreso,En Revisión,Completado,Bloqueado"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97560"/>
  </sheetPr>
  <dimension ref="A1:P49"/>
  <sheetViews>
    <sheetView showGridLines="0" zoomScaleNormal="100" workbookViewId="0">
      <pane xSplit="4" ySplit="6" topLeftCell="E7" activePane="bottomRight" state="frozen"/>
      <selection pane="bottomRight" activeCell="F42" sqref="F42"/>
      <selection pane="bottomLeft" activeCell="A7" sqref="A7"/>
      <selection pane="topRight" activeCell="E1" sqref="E1"/>
    </sheetView>
  </sheetViews>
  <sheetFormatPr defaultColWidth="8.5703125" defaultRowHeight="14.45"/>
  <cols>
    <col min="1" max="1" width="2" customWidth="1"/>
    <col min="2" max="2" width="4" customWidth="1"/>
    <col min="3" max="3" width="3" hidden="1" customWidth="1"/>
    <col min="4" max="4" width="12" customWidth="1"/>
    <col min="5" max="5" width="28" customWidth="1"/>
    <col min="6" max="6" width="36" customWidth="1"/>
    <col min="7" max="7" width="20" customWidth="1"/>
    <col min="8" max="8" width="12" customWidth="1"/>
    <col min="9" max="9" width="16" customWidth="1"/>
    <col min="10" max="10" width="18" customWidth="1"/>
    <col min="11" max="12" width="13" customWidth="1"/>
    <col min="13" max="13" width="9" customWidth="1"/>
    <col min="14" max="14" width="10" customWidth="1"/>
    <col min="15" max="15" width="9" customWidth="1"/>
    <col min="16" max="16" width="34" customWidth="1"/>
  </cols>
  <sheetData>
    <row r="1" spans="1:16" ht="7.5" customHeight="1"/>
    <row r="2" spans="1:16" ht="43.5" customHeight="1">
      <c r="A2" s="105" t="s">
        <v>18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ht="19.5" customHeight="1">
      <c r="A3" s="106" t="s">
        <v>13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</row>
    <row r="4" spans="1:16" ht="48" customHeight="1">
      <c r="A4" s="107" t="s">
        <v>186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1:16" ht="7.5" customHeight="1"/>
    <row r="6" spans="1:16" ht="27.75" customHeight="1">
      <c r="A6" s="32"/>
      <c r="B6" s="32" t="s">
        <v>20</v>
      </c>
      <c r="C6" s="32" t="s">
        <v>21</v>
      </c>
      <c r="D6" s="32" t="s">
        <v>22</v>
      </c>
      <c r="E6" s="32" t="s">
        <v>23</v>
      </c>
      <c r="F6" s="32" t="s">
        <v>24</v>
      </c>
      <c r="G6" s="32" t="s">
        <v>25</v>
      </c>
      <c r="H6" s="32" t="s">
        <v>26</v>
      </c>
      <c r="I6" s="32" t="s">
        <v>27</v>
      </c>
      <c r="J6" s="32" t="s">
        <v>28</v>
      </c>
      <c r="K6" s="32" t="s">
        <v>29</v>
      </c>
      <c r="L6" s="32" t="s">
        <v>30</v>
      </c>
      <c r="M6" s="32" t="s">
        <v>3</v>
      </c>
      <c r="N6" s="32" t="s">
        <v>4</v>
      </c>
      <c r="O6" s="32" t="s">
        <v>10</v>
      </c>
      <c r="P6" s="32" t="s">
        <v>31</v>
      </c>
    </row>
    <row r="7" spans="1:16" ht="39.75" customHeight="1">
      <c r="A7" s="14"/>
      <c r="B7" s="33"/>
      <c r="C7" s="34" t="b">
        <f>FALSE()</f>
        <v>0</v>
      </c>
      <c r="D7" s="35" t="s">
        <v>187</v>
      </c>
      <c r="E7" s="36" t="s">
        <v>188</v>
      </c>
      <c r="F7" s="37" t="s">
        <v>189</v>
      </c>
      <c r="G7" s="38" t="s">
        <v>190</v>
      </c>
      <c r="H7" s="39" t="s">
        <v>36</v>
      </c>
      <c r="I7" s="40" t="str">
        <f>IF(C7,"Completado","Pendiente")</f>
        <v>Pendiente</v>
      </c>
      <c r="J7" s="41"/>
      <c r="K7" s="42"/>
      <c r="L7" s="42"/>
      <c r="M7" s="43">
        <f>COUNTA(E9:E62)</f>
        <v>35</v>
      </c>
      <c r="N7" s="44">
        <f>COUNTIF(F9:F62,"Completado")</f>
        <v>0</v>
      </c>
      <c r="O7" s="45">
        <f>IFERROR(COUNTIF(F9:F62,"Completado")/COUNTA(E9:E62),0)</f>
        <v>0</v>
      </c>
      <c r="P7" s="46"/>
    </row>
    <row r="8" spans="1:16" ht="18" customHeight="1">
      <c r="A8" s="47"/>
      <c r="B8" s="47" t="s">
        <v>20</v>
      </c>
      <c r="C8" s="47" t="s">
        <v>21</v>
      </c>
      <c r="D8" s="47" t="s">
        <v>38</v>
      </c>
      <c r="E8" s="47" t="s">
        <v>39</v>
      </c>
      <c r="F8" s="47" t="s">
        <v>27</v>
      </c>
      <c r="G8" s="47" t="s">
        <v>28</v>
      </c>
      <c r="H8" s="47" t="s">
        <v>30</v>
      </c>
      <c r="I8" s="47" t="s">
        <v>40</v>
      </c>
      <c r="J8" s="14"/>
      <c r="K8" s="14"/>
      <c r="L8" s="14"/>
      <c r="M8" s="14"/>
      <c r="N8" s="14"/>
      <c r="O8" s="14"/>
      <c r="P8" s="14"/>
    </row>
    <row r="9" spans="1:16" ht="25.5" customHeight="1">
      <c r="A9" s="48"/>
      <c r="B9" s="33"/>
      <c r="C9" s="34" t="b">
        <f>FALSE()</f>
        <v>0</v>
      </c>
      <c r="D9" s="49" t="s">
        <v>187</v>
      </c>
      <c r="E9" s="50" t="s">
        <v>191</v>
      </c>
      <c r="F9" s="40" t="str">
        <f>IF(C9,"Completado","Pendiente")</f>
        <v>Pendiente</v>
      </c>
      <c r="G9" s="41"/>
      <c r="H9" s="42"/>
      <c r="I9" s="46"/>
      <c r="J9" s="34"/>
      <c r="K9" s="34"/>
      <c r="L9" s="34"/>
      <c r="M9" s="34"/>
      <c r="N9" s="34"/>
      <c r="O9" s="34"/>
      <c r="P9" s="34"/>
    </row>
    <row r="10" spans="1:16" ht="25.5" customHeight="1">
      <c r="A10" s="48"/>
      <c r="B10" s="51"/>
      <c r="C10" s="52" t="b">
        <f>FALSE()</f>
        <v>0</v>
      </c>
      <c r="D10" s="53" t="s">
        <v>187</v>
      </c>
      <c r="E10" s="54" t="s">
        <v>192</v>
      </c>
      <c r="F10" s="40" t="str">
        <f>IF(C10,"Completado","Pendiente")</f>
        <v>Pendiente</v>
      </c>
      <c r="G10" s="41"/>
      <c r="H10" s="42"/>
      <c r="I10" s="46"/>
      <c r="J10" s="52"/>
      <c r="K10" s="52"/>
      <c r="L10" s="52"/>
      <c r="M10" s="52"/>
      <c r="N10" s="52"/>
      <c r="O10" s="52"/>
      <c r="P10" s="52"/>
    </row>
    <row r="11" spans="1:16" ht="25.5" customHeight="1">
      <c r="A11" s="48"/>
      <c r="B11" s="33"/>
      <c r="C11" s="34" t="b">
        <f>FALSE()</f>
        <v>0</v>
      </c>
      <c r="D11" s="49" t="s">
        <v>187</v>
      </c>
      <c r="E11" s="50" t="s">
        <v>193</v>
      </c>
      <c r="F11" s="40" t="str">
        <f>IF(C11,"Completado","Pendiente")</f>
        <v>Pendiente</v>
      </c>
      <c r="G11" s="41"/>
      <c r="H11" s="42"/>
      <c r="I11" s="46"/>
      <c r="J11" s="34"/>
      <c r="K11" s="34"/>
      <c r="L11" s="34"/>
      <c r="M11" s="34"/>
      <c r="N11" s="34"/>
      <c r="O11" s="34"/>
      <c r="P11" s="34"/>
    </row>
    <row r="12" spans="1:16" ht="25.5" customHeight="1">
      <c r="A12" s="48"/>
      <c r="B12" s="51"/>
      <c r="C12" s="52" t="b">
        <f>FALSE()</f>
        <v>0</v>
      </c>
      <c r="D12" s="53" t="s">
        <v>187</v>
      </c>
      <c r="E12" s="54" t="s">
        <v>194</v>
      </c>
      <c r="F12" s="40" t="str">
        <f>IF(C12,"Completado","Pendiente")</f>
        <v>Pendiente</v>
      </c>
      <c r="G12" s="41"/>
      <c r="H12" s="42"/>
      <c r="I12" s="46"/>
      <c r="J12" s="52"/>
      <c r="K12" s="52"/>
      <c r="L12" s="52"/>
      <c r="M12" s="52"/>
      <c r="N12" s="52"/>
      <c r="O12" s="52"/>
      <c r="P12" s="52"/>
    </row>
    <row r="13" spans="1:16" ht="4.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</row>
    <row r="14" spans="1:16" ht="39.75" customHeight="1">
      <c r="A14" s="14"/>
      <c r="B14" s="51"/>
      <c r="C14" s="52" t="b">
        <f>FALSE()</f>
        <v>0</v>
      </c>
      <c r="D14" s="55" t="s">
        <v>195</v>
      </c>
      <c r="E14" s="56" t="s">
        <v>196</v>
      </c>
      <c r="F14" s="57" t="s">
        <v>197</v>
      </c>
      <c r="G14" s="38" t="s">
        <v>198</v>
      </c>
      <c r="H14" s="39" t="s">
        <v>36</v>
      </c>
      <c r="I14" s="40" t="str">
        <f>IF(C14,"Completado","Pendiente")</f>
        <v>Pendiente</v>
      </c>
      <c r="J14" s="41"/>
      <c r="K14" s="42"/>
      <c r="L14" s="42"/>
      <c r="M14" s="43">
        <f>COUNTA(E16:E69)</f>
        <v>29</v>
      </c>
      <c r="N14" s="44">
        <f>COUNTIF(F16:F69,"Completado")</f>
        <v>0</v>
      </c>
      <c r="O14" s="45">
        <f>IFERROR(COUNTIF(F16:F69,"Completado")/COUNTA(E16:E69),0)</f>
        <v>0</v>
      </c>
      <c r="P14" s="46"/>
    </row>
    <row r="15" spans="1:16" ht="18" customHeight="1">
      <c r="A15" s="47"/>
      <c r="B15" s="47" t="s">
        <v>20</v>
      </c>
      <c r="C15" s="47" t="s">
        <v>21</v>
      </c>
      <c r="D15" s="47" t="s">
        <v>38</v>
      </c>
      <c r="E15" s="47" t="s">
        <v>39</v>
      </c>
      <c r="F15" s="47" t="s">
        <v>27</v>
      </c>
      <c r="G15" s="47" t="s">
        <v>28</v>
      </c>
      <c r="H15" s="47" t="s">
        <v>30</v>
      </c>
      <c r="I15" s="47" t="s">
        <v>40</v>
      </c>
      <c r="J15" s="14"/>
      <c r="K15" s="14"/>
      <c r="L15" s="14"/>
      <c r="M15" s="14"/>
      <c r="N15" s="14"/>
      <c r="O15" s="14"/>
      <c r="P15" s="14"/>
    </row>
    <row r="16" spans="1:16" ht="25.5" customHeight="1">
      <c r="A16" s="48"/>
      <c r="B16" s="33"/>
      <c r="C16" s="34" t="b">
        <f>FALSE()</f>
        <v>0</v>
      </c>
      <c r="D16" s="49" t="s">
        <v>195</v>
      </c>
      <c r="E16" s="50" t="s">
        <v>199</v>
      </c>
      <c r="F16" s="40" t="str">
        <f>IF(C16,"Completado","Pendiente")</f>
        <v>Pendiente</v>
      </c>
      <c r="G16" s="41"/>
      <c r="H16" s="42"/>
      <c r="I16" s="46"/>
      <c r="J16" s="34"/>
      <c r="K16" s="34"/>
      <c r="L16" s="34"/>
      <c r="M16" s="34"/>
      <c r="N16" s="34"/>
      <c r="O16" s="34"/>
      <c r="P16" s="34"/>
    </row>
    <row r="17" spans="1:16" ht="25.5" customHeight="1">
      <c r="A17" s="48"/>
      <c r="B17" s="51"/>
      <c r="C17" s="52" t="b">
        <f>FALSE()</f>
        <v>0</v>
      </c>
      <c r="D17" s="53" t="s">
        <v>195</v>
      </c>
      <c r="E17" s="54" t="s">
        <v>200</v>
      </c>
      <c r="F17" s="40" t="str">
        <f>IF(C17,"Completado","Pendiente")</f>
        <v>Pendiente</v>
      </c>
      <c r="G17" s="41"/>
      <c r="H17" s="42"/>
      <c r="I17" s="46"/>
      <c r="J17" s="52"/>
      <c r="K17" s="52"/>
      <c r="L17" s="52"/>
      <c r="M17" s="52"/>
      <c r="N17" s="52"/>
      <c r="O17" s="52"/>
      <c r="P17" s="52"/>
    </row>
    <row r="18" spans="1:16" ht="25.5" customHeight="1">
      <c r="A18" s="48"/>
      <c r="B18" s="33"/>
      <c r="C18" s="34" t="b">
        <f>FALSE()</f>
        <v>0</v>
      </c>
      <c r="D18" s="49" t="s">
        <v>195</v>
      </c>
      <c r="E18" s="50" t="s">
        <v>201</v>
      </c>
      <c r="F18" s="40" t="str">
        <f>IF(C18,"Completado","Pendiente")</f>
        <v>Pendiente</v>
      </c>
      <c r="G18" s="41"/>
      <c r="H18" s="42"/>
      <c r="I18" s="46"/>
      <c r="J18" s="34"/>
      <c r="K18" s="34"/>
      <c r="L18" s="34"/>
      <c r="M18" s="34"/>
      <c r="N18" s="34"/>
      <c r="O18" s="34"/>
      <c r="P18" s="34"/>
    </row>
    <row r="19" spans="1:16" ht="25.5" customHeight="1">
      <c r="A19" s="48"/>
      <c r="B19" s="51"/>
      <c r="C19" s="52" t="b">
        <f>FALSE()</f>
        <v>0</v>
      </c>
      <c r="D19" s="53" t="s">
        <v>195</v>
      </c>
      <c r="E19" s="54" t="s">
        <v>202</v>
      </c>
      <c r="F19" s="40" t="str">
        <f>IF(C19,"Completado","Pendiente")</f>
        <v>Pendiente</v>
      </c>
      <c r="G19" s="41"/>
      <c r="H19" s="42"/>
      <c r="I19" s="46"/>
      <c r="J19" s="52"/>
      <c r="K19" s="52"/>
      <c r="L19" s="52"/>
      <c r="M19" s="52"/>
      <c r="N19" s="52"/>
      <c r="O19" s="52"/>
      <c r="P19" s="52"/>
    </row>
    <row r="20" spans="1:16" ht="4.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spans="1:16" ht="39.75" customHeight="1">
      <c r="A21" s="14"/>
      <c r="B21" s="33"/>
      <c r="C21" s="34" t="b">
        <f>FALSE()</f>
        <v>0</v>
      </c>
      <c r="D21" s="35" t="s">
        <v>203</v>
      </c>
      <c r="E21" s="36" t="s">
        <v>204</v>
      </c>
      <c r="F21" s="37" t="s">
        <v>205</v>
      </c>
      <c r="G21" s="38" t="s">
        <v>206</v>
      </c>
      <c r="H21" s="39" t="s">
        <v>36</v>
      </c>
      <c r="I21" s="40" t="str">
        <f>IF(C21,"Completado","Pendiente")</f>
        <v>Pendiente</v>
      </c>
      <c r="J21" s="41"/>
      <c r="K21" s="42"/>
      <c r="L21" s="42"/>
      <c r="M21" s="43">
        <f>COUNTA(E23:E76)</f>
        <v>23</v>
      </c>
      <c r="N21" s="44">
        <f>COUNTIF(F23:F76,"Completado")</f>
        <v>0</v>
      </c>
      <c r="O21" s="45">
        <f>IFERROR(COUNTIF(F23:F76,"Completado")/COUNTA(E23:E76),0)</f>
        <v>0</v>
      </c>
      <c r="P21" s="46"/>
    </row>
    <row r="22" spans="1:16" ht="18" customHeight="1">
      <c r="A22" s="47"/>
      <c r="B22" s="47" t="s">
        <v>20</v>
      </c>
      <c r="C22" s="47" t="s">
        <v>21</v>
      </c>
      <c r="D22" s="47" t="s">
        <v>38</v>
      </c>
      <c r="E22" s="47" t="s">
        <v>39</v>
      </c>
      <c r="F22" s="47" t="s">
        <v>27</v>
      </c>
      <c r="G22" s="47" t="s">
        <v>28</v>
      </c>
      <c r="H22" s="47" t="s">
        <v>30</v>
      </c>
      <c r="I22" s="47" t="s">
        <v>40</v>
      </c>
      <c r="J22" s="14"/>
      <c r="K22" s="14"/>
      <c r="L22" s="14"/>
      <c r="M22" s="14"/>
      <c r="N22" s="14"/>
      <c r="O22" s="14"/>
      <c r="P22" s="14"/>
    </row>
    <row r="23" spans="1:16" ht="25.5" customHeight="1">
      <c r="A23" s="48"/>
      <c r="B23" s="33"/>
      <c r="C23" s="34" t="b">
        <f>FALSE()</f>
        <v>0</v>
      </c>
      <c r="D23" s="49" t="s">
        <v>203</v>
      </c>
      <c r="E23" s="50" t="s">
        <v>207</v>
      </c>
      <c r="F23" s="40" t="str">
        <f>IF(C23,"Completado","Pendiente")</f>
        <v>Pendiente</v>
      </c>
      <c r="G23" s="41"/>
      <c r="H23" s="42"/>
      <c r="I23" s="46"/>
      <c r="J23" s="34"/>
      <c r="K23" s="34"/>
      <c r="L23" s="34"/>
      <c r="M23" s="34"/>
      <c r="N23" s="34"/>
      <c r="O23" s="34"/>
      <c r="P23" s="34"/>
    </row>
    <row r="24" spans="1:16" ht="25.5" customHeight="1">
      <c r="A24" s="48"/>
      <c r="B24" s="51"/>
      <c r="C24" s="52" t="b">
        <f>FALSE()</f>
        <v>0</v>
      </c>
      <c r="D24" s="53" t="s">
        <v>203</v>
      </c>
      <c r="E24" s="54" t="s">
        <v>208</v>
      </c>
      <c r="F24" s="40" t="str">
        <f>IF(C24,"Completado","Pendiente")</f>
        <v>Pendiente</v>
      </c>
      <c r="G24" s="41"/>
      <c r="H24" s="42"/>
      <c r="I24" s="46"/>
      <c r="J24" s="52"/>
      <c r="K24" s="52"/>
      <c r="L24" s="52"/>
      <c r="M24" s="52"/>
      <c r="N24" s="52"/>
      <c r="O24" s="52"/>
      <c r="P24" s="52"/>
    </row>
    <row r="25" spans="1:16" ht="25.5" customHeight="1">
      <c r="A25" s="48"/>
      <c r="B25" s="33"/>
      <c r="C25" s="34" t="b">
        <f>FALSE()</f>
        <v>0</v>
      </c>
      <c r="D25" s="49" t="s">
        <v>203</v>
      </c>
      <c r="E25" s="50" t="s">
        <v>209</v>
      </c>
      <c r="F25" s="40" t="str">
        <f>IF(C25,"Completado","Pendiente")</f>
        <v>Pendiente</v>
      </c>
      <c r="G25" s="41"/>
      <c r="H25" s="42"/>
      <c r="I25" s="46"/>
      <c r="J25" s="34"/>
      <c r="K25" s="34"/>
      <c r="L25" s="34"/>
      <c r="M25" s="34"/>
      <c r="N25" s="34"/>
      <c r="O25" s="34"/>
      <c r="P25" s="34"/>
    </row>
    <row r="26" spans="1:16" ht="25.5" customHeight="1">
      <c r="A26" s="48"/>
      <c r="B26" s="51"/>
      <c r="C26" s="52" t="b">
        <f>FALSE()</f>
        <v>0</v>
      </c>
      <c r="D26" s="53" t="s">
        <v>203</v>
      </c>
      <c r="E26" s="54" t="s">
        <v>210</v>
      </c>
      <c r="F26" s="40" t="str">
        <f>IF(C26,"Completado","Pendiente")</f>
        <v>Pendiente</v>
      </c>
      <c r="G26" s="41"/>
      <c r="H26" s="42"/>
      <c r="I26" s="46"/>
      <c r="J26" s="52"/>
      <c r="K26" s="52"/>
      <c r="L26" s="52"/>
      <c r="M26" s="52"/>
      <c r="N26" s="52"/>
      <c r="O26" s="52"/>
      <c r="P26" s="52"/>
    </row>
    <row r="27" spans="1:16" ht="4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</row>
    <row r="28" spans="1:16" ht="39.75" customHeight="1">
      <c r="A28" s="14"/>
      <c r="B28" s="51"/>
      <c r="C28" s="52" t="b">
        <f>FALSE()</f>
        <v>0</v>
      </c>
      <c r="D28" s="55" t="s">
        <v>211</v>
      </c>
      <c r="E28" s="56" t="s">
        <v>212</v>
      </c>
      <c r="F28" s="57" t="s">
        <v>213</v>
      </c>
      <c r="G28" s="38" t="s">
        <v>214</v>
      </c>
      <c r="H28" s="58" t="s">
        <v>101</v>
      </c>
      <c r="I28" s="40" t="str">
        <f>IF(C28,"Completado","Pendiente")</f>
        <v>Pendiente</v>
      </c>
      <c r="J28" s="41"/>
      <c r="K28" s="42"/>
      <c r="L28" s="42"/>
      <c r="M28" s="43">
        <f>COUNTA(E30:E83)</f>
        <v>17</v>
      </c>
      <c r="N28" s="44">
        <f>COUNTIF(F30:F83,"Completado")</f>
        <v>0</v>
      </c>
      <c r="O28" s="45">
        <f>IFERROR(COUNTIF(F30:F83,"Completado")/COUNTA(E30:E83),0)</f>
        <v>0</v>
      </c>
      <c r="P28" s="46"/>
    </row>
    <row r="29" spans="1:16" ht="18" customHeight="1">
      <c r="A29" s="47"/>
      <c r="B29" s="47" t="s">
        <v>20</v>
      </c>
      <c r="C29" s="47" t="s">
        <v>21</v>
      </c>
      <c r="D29" s="47" t="s">
        <v>38</v>
      </c>
      <c r="E29" s="47" t="s">
        <v>39</v>
      </c>
      <c r="F29" s="47" t="s">
        <v>27</v>
      </c>
      <c r="G29" s="47" t="s">
        <v>28</v>
      </c>
      <c r="H29" s="47" t="s">
        <v>30</v>
      </c>
      <c r="I29" s="47" t="s">
        <v>40</v>
      </c>
      <c r="J29" s="14"/>
      <c r="K29" s="14"/>
      <c r="L29" s="14"/>
      <c r="M29" s="14"/>
      <c r="N29" s="14"/>
      <c r="O29" s="14"/>
      <c r="P29" s="14"/>
    </row>
    <row r="30" spans="1:16" ht="25.5" customHeight="1">
      <c r="A30" s="48"/>
      <c r="B30" s="33"/>
      <c r="C30" s="34" t="b">
        <f>FALSE()</f>
        <v>0</v>
      </c>
      <c r="D30" s="49" t="s">
        <v>211</v>
      </c>
      <c r="E30" s="50" t="s">
        <v>215</v>
      </c>
      <c r="F30" s="40" t="str">
        <f>IF(C30,"Completado","Pendiente")</f>
        <v>Pendiente</v>
      </c>
      <c r="G30" s="41"/>
      <c r="H30" s="42"/>
      <c r="I30" s="46"/>
      <c r="J30" s="34"/>
      <c r="K30" s="34"/>
      <c r="L30" s="34"/>
      <c r="M30" s="34"/>
      <c r="N30" s="34"/>
      <c r="O30" s="34"/>
      <c r="P30" s="34"/>
    </row>
    <row r="31" spans="1:16" ht="25.5" customHeight="1">
      <c r="A31" s="48"/>
      <c r="B31" s="51"/>
      <c r="C31" s="52" t="b">
        <f>FALSE()</f>
        <v>0</v>
      </c>
      <c r="D31" s="53" t="s">
        <v>211</v>
      </c>
      <c r="E31" s="54" t="s">
        <v>216</v>
      </c>
      <c r="F31" s="40" t="str">
        <f>IF(C31,"Completado","Pendiente")</f>
        <v>Pendiente</v>
      </c>
      <c r="G31" s="41"/>
      <c r="H31" s="42"/>
      <c r="I31" s="46"/>
      <c r="J31" s="52"/>
      <c r="K31" s="52"/>
      <c r="L31" s="52"/>
      <c r="M31" s="52"/>
      <c r="N31" s="52"/>
      <c r="O31" s="52"/>
      <c r="P31" s="52"/>
    </row>
    <row r="32" spans="1:16" ht="25.5" customHeight="1">
      <c r="A32" s="48"/>
      <c r="B32" s="33"/>
      <c r="C32" s="34" t="b">
        <f>FALSE()</f>
        <v>0</v>
      </c>
      <c r="D32" s="49" t="s">
        <v>211</v>
      </c>
      <c r="E32" s="50" t="s">
        <v>217</v>
      </c>
      <c r="F32" s="40" t="str">
        <f>IF(C32,"Completado","Pendiente")</f>
        <v>Pendiente</v>
      </c>
      <c r="G32" s="41"/>
      <c r="H32" s="42"/>
      <c r="I32" s="46"/>
      <c r="J32" s="34"/>
      <c r="K32" s="34"/>
      <c r="L32" s="34"/>
      <c r="M32" s="34"/>
      <c r="N32" s="34"/>
      <c r="O32" s="34"/>
      <c r="P32" s="34"/>
    </row>
    <row r="33" spans="1:16" ht="25.5" customHeight="1">
      <c r="A33" s="48"/>
      <c r="B33" s="51"/>
      <c r="C33" s="52" t="b">
        <f>FALSE()</f>
        <v>0</v>
      </c>
      <c r="D33" s="53" t="s">
        <v>211</v>
      </c>
      <c r="E33" s="54" t="s">
        <v>218</v>
      </c>
      <c r="F33" s="40" t="str">
        <f>IF(C33,"Completado","Pendiente")</f>
        <v>Pendiente</v>
      </c>
      <c r="G33" s="41"/>
      <c r="H33" s="42"/>
      <c r="I33" s="46"/>
      <c r="J33" s="52"/>
      <c r="K33" s="52"/>
      <c r="L33" s="52"/>
      <c r="M33" s="52"/>
      <c r="N33" s="52"/>
      <c r="O33" s="52"/>
      <c r="P33" s="52"/>
    </row>
    <row r="34" spans="1:16" ht="4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1:16" ht="39.75" customHeight="1">
      <c r="A35" s="14"/>
      <c r="B35" s="33"/>
      <c r="C35" s="34" t="b">
        <f>FALSE()</f>
        <v>0</v>
      </c>
      <c r="D35" s="35" t="s">
        <v>219</v>
      </c>
      <c r="E35" s="36" t="s">
        <v>220</v>
      </c>
      <c r="F35" s="37" t="s">
        <v>221</v>
      </c>
      <c r="G35" s="38" t="s">
        <v>90</v>
      </c>
      <c r="H35" s="58" t="s">
        <v>101</v>
      </c>
      <c r="I35" s="40" t="str">
        <f>IF(C35,"Completado","Pendiente")</f>
        <v>Pendiente</v>
      </c>
      <c r="J35" s="41"/>
      <c r="K35" s="42"/>
      <c r="L35" s="42"/>
      <c r="M35" s="43">
        <f>COUNTA(E37:E90)</f>
        <v>11</v>
      </c>
      <c r="N35" s="44">
        <f>COUNTIF(F37:F90,"Completado")</f>
        <v>0</v>
      </c>
      <c r="O35" s="45">
        <f>IFERROR(COUNTIF(F37:F90,"Completado")/COUNTA(E37:E90),0)</f>
        <v>0</v>
      </c>
      <c r="P35" s="46"/>
    </row>
    <row r="36" spans="1:16" ht="18" customHeight="1">
      <c r="A36" s="47"/>
      <c r="B36" s="47" t="s">
        <v>20</v>
      </c>
      <c r="C36" s="47" t="s">
        <v>21</v>
      </c>
      <c r="D36" s="47" t="s">
        <v>38</v>
      </c>
      <c r="E36" s="47" t="s">
        <v>39</v>
      </c>
      <c r="F36" s="47" t="s">
        <v>27</v>
      </c>
      <c r="G36" s="47" t="s">
        <v>28</v>
      </c>
      <c r="H36" s="47" t="s">
        <v>30</v>
      </c>
      <c r="I36" s="47" t="s">
        <v>40</v>
      </c>
      <c r="J36" s="14"/>
      <c r="K36" s="14"/>
      <c r="L36" s="14"/>
      <c r="M36" s="14"/>
      <c r="N36" s="14"/>
      <c r="O36" s="14"/>
      <c r="P36" s="14"/>
    </row>
    <row r="37" spans="1:16" ht="25.5" customHeight="1">
      <c r="A37" s="48"/>
      <c r="B37" s="33"/>
      <c r="C37" s="34" t="b">
        <f>FALSE()</f>
        <v>0</v>
      </c>
      <c r="D37" s="49" t="s">
        <v>219</v>
      </c>
      <c r="E37" s="50" t="s">
        <v>222</v>
      </c>
      <c r="F37" s="40" t="str">
        <f>IF(C37,"Completado","Pendiente")</f>
        <v>Pendiente</v>
      </c>
      <c r="G37" s="41"/>
      <c r="H37" s="42"/>
      <c r="I37" s="46"/>
      <c r="J37" s="34"/>
      <c r="K37" s="34"/>
      <c r="L37" s="34"/>
      <c r="M37" s="34"/>
      <c r="N37" s="34"/>
      <c r="O37" s="34"/>
      <c r="P37" s="34"/>
    </row>
    <row r="38" spans="1:16" ht="25.5" customHeight="1">
      <c r="A38" s="48"/>
      <c r="B38" s="51"/>
      <c r="C38" s="52" t="b">
        <f>FALSE()</f>
        <v>0</v>
      </c>
      <c r="D38" s="53" t="s">
        <v>219</v>
      </c>
      <c r="E38" s="54" t="s">
        <v>223</v>
      </c>
      <c r="F38" s="40" t="str">
        <f>IF(C38,"Completado","Pendiente")</f>
        <v>Pendiente</v>
      </c>
      <c r="G38" s="41"/>
      <c r="H38" s="42"/>
      <c r="I38" s="46"/>
      <c r="J38" s="52"/>
      <c r="K38" s="52"/>
      <c r="L38" s="52"/>
      <c r="M38" s="52"/>
      <c r="N38" s="52"/>
      <c r="O38" s="52"/>
      <c r="P38" s="52"/>
    </row>
    <row r="39" spans="1:16" ht="25.5" customHeight="1">
      <c r="A39" s="48"/>
      <c r="B39" s="33"/>
      <c r="C39" s="34" t="b">
        <f>FALSE()</f>
        <v>0</v>
      </c>
      <c r="D39" s="49" t="s">
        <v>219</v>
      </c>
      <c r="E39" s="50" t="s">
        <v>224</v>
      </c>
      <c r="F39" s="40" t="str">
        <f>IF(C39,"Completado","Pendiente")</f>
        <v>Pendiente</v>
      </c>
      <c r="G39" s="41"/>
      <c r="H39" s="42"/>
      <c r="I39" s="46"/>
      <c r="J39" s="34"/>
      <c r="K39" s="34"/>
      <c r="L39" s="34"/>
      <c r="M39" s="34"/>
      <c r="N39" s="34"/>
      <c r="O39" s="34"/>
      <c r="P39" s="34"/>
    </row>
    <row r="40" spans="1:16" ht="25.5" customHeight="1">
      <c r="A40" s="48"/>
      <c r="B40" s="51"/>
      <c r="C40" s="52" t="b">
        <f>FALSE()</f>
        <v>0</v>
      </c>
      <c r="D40" s="53" t="s">
        <v>219</v>
      </c>
      <c r="E40" s="54" t="s">
        <v>225</v>
      </c>
      <c r="F40" s="40" t="str">
        <f>IF(C40,"Completado","Pendiente")</f>
        <v>Pendiente</v>
      </c>
      <c r="G40" s="41"/>
      <c r="H40" s="42"/>
      <c r="I40" s="46"/>
      <c r="J40" s="52"/>
      <c r="K40" s="52"/>
      <c r="L40" s="52"/>
      <c r="M40" s="52"/>
      <c r="N40" s="52"/>
      <c r="O40" s="52"/>
      <c r="P40" s="52"/>
    </row>
    <row r="41" spans="1:16" ht="4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16" ht="39.75" customHeight="1">
      <c r="A42" s="14"/>
      <c r="B42" s="51"/>
      <c r="C42" s="52" t="b">
        <f>FALSE()</f>
        <v>0</v>
      </c>
      <c r="D42" s="55" t="s">
        <v>226</v>
      </c>
      <c r="E42" s="56" t="s">
        <v>227</v>
      </c>
      <c r="F42" s="57" t="s">
        <v>228</v>
      </c>
      <c r="G42" s="38" t="s">
        <v>198</v>
      </c>
      <c r="H42" s="58" t="s">
        <v>101</v>
      </c>
      <c r="I42" s="40" t="str">
        <f>IF(C42,"Completado","Pendiente")</f>
        <v>Pendiente</v>
      </c>
      <c r="J42" s="41"/>
      <c r="K42" s="42"/>
      <c r="L42" s="42"/>
      <c r="M42" s="43">
        <f>COUNTA(E44:E97)</f>
        <v>5</v>
      </c>
      <c r="N42" s="44">
        <f>COUNTIF(F44:F97,"Completado")</f>
        <v>0</v>
      </c>
      <c r="O42" s="45">
        <f>IFERROR(COUNTIF(F44:F97,"Completado")/COUNTA(E44:E97),0)</f>
        <v>0</v>
      </c>
      <c r="P42" s="46"/>
    </row>
    <row r="43" spans="1:16" ht="18" customHeight="1">
      <c r="A43" s="47"/>
      <c r="B43" s="47" t="s">
        <v>20</v>
      </c>
      <c r="C43" s="47" t="s">
        <v>21</v>
      </c>
      <c r="D43" s="47" t="s">
        <v>38</v>
      </c>
      <c r="E43" s="47" t="s">
        <v>39</v>
      </c>
      <c r="F43" s="47" t="s">
        <v>27</v>
      </c>
      <c r="G43" s="47" t="s">
        <v>28</v>
      </c>
      <c r="H43" s="47" t="s">
        <v>30</v>
      </c>
      <c r="I43" s="47" t="s">
        <v>40</v>
      </c>
      <c r="J43" s="14"/>
      <c r="K43" s="14"/>
      <c r="L43" s="14"/>
      <c r="M43" s="14"/>
      <c r="N43" s="14"/>
      <c r="O43" s="14"/>
      <c r="P43" s="14"/>
    </row>
    <row r="44" spans="1:16" ht="25.5" customHeight="1">
      <c r="A44" s="48"/>
      <c r="B44" s="33"/>
      <c r="C44" s="34" t="b">
        <f>FALSE()</f>
        <v>0</v>
      </c>
      <c r="D44" s="49" t="s">
        <v>226</v>
      </c>
      <c r="E44" s="50" t="s">
        <v>229</v>
      </c>
      <c r="F44" s="40" t="str">
        <f>IF(C44,"Completado","Pendiente")</f>
        <v>Pendiente</v>
      </c>
      <c r="G44" s="41"/>
      <c r="H44" s="42"/>
      <c r="I44" s="46"/>
      <c r="J44" s="34"/>
      <c r="K44" s="34"/>
      <c r="L44" s="34"/>
      <c r="M44" s="34"/>
      <c r="N44" s="34"/>
      <c r="O44" s="34"/>
      <c r="P44" s="34"/>
    </row>
    <row r="45" spans="1:16" ht="25.5" customHeight="1">
      <c r="A45" s="48"/>
      <c r="B45" s="51"/>
      <c r="C45" s="52" t="b">
        <f>FALSE()</f>
        <v>0</v>
      </c>
      <c r="D45" s="53" t="s">
        <v>226</v>
      </c>
      <c r="E45" s="54" t="s">
        <v>230</v>
      </c>
      <c r="F45" s="40" t="str">
        <f>IF(C45,"Completado","Pendiente")</f>
        <v>Pendiente</v>
      </c>
      <c r="G45" s="41"/>
      <c r="H45" s="42"/>
      <c r="I45" s="46"/>
      <c r="J45" s="52"/>
      <c r="K45" s="52"/>
      <c r="L45" s="52"/>
      <c r="M45" s="52"/>
      <c r="N45" s="52"/>
      <c r="O45" s="52"/>
      <c r="P45" s="52"/>
    </row>
    <row r="46" spans="1:16" ht="25.5" customHeight="1">
      <c r="A46" s="48"/>
      <c r="B46" s="33"/>
      <c r="C46" s="34" t="b">
        <f>FALSE()</f>
        <v>0</v>
      </c>
      <c r="D46" s="49" t="s">
        <v>226</v>
      </c>
      <c r="E46" s="50" t="s">
        <v>231</v>
      </c>
      <c r="F46" s="40" t="str">
        <f>IF(C46,"Completado","Pendiente")</f>
        <v>Pendiente</v>
      </c>
      <c r="G46" s="41"/>
      <c r="H46" s="42"/>
      <c r="I46" s="46"/>
      <c r="J46" s="34"/>
      <c r="K46" s="34"/>
      <c r="L46" s="34"/>
      <c r="M46" s="34"/>
      <c r="N46" s="34"/>
      <c r="O46" s="34"/>
      <c r="P46" s="34"/>
    </row>
    <row r="47" spans="1:16" ht="25.5" customHeight="1">
      <c r="A47" s="48"/>
      <c r="B47" s="51"/>
      <c r="C47" s="52" t="b">
        <f>FALSE()</f>
        <v>0</v>
      </c>
      <c r="D47" s="53" t="s">
        <v>226</v>
      </c>
      <c r="E47" s="54" t="s">
        <v>232</v>
      </c>
      <c r="F47" s="40" t="str">
        <f>IF(C47,"Completado","Pendiente")</f>
        <v>Pendiente</v>
      </c>
      <c r="G47" s="41"/>
      <c r="H47" s="42"/>
      <c r="I47" s="46"/>
      <c r="J47" s="52"/>
      <c r="K47" s="52"/>
      <c r="L47" s="52"/>
      <c r="M47" s="52"/>
      <c r="N47" s="52"/>
      <c r="O47" s="52"/>
      <c r="P47" s="52"/>
    </row>
    <row r="48" spans="1:16" ht="4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15" ht="25.5" customHeight="1">
      <c r="A49" s="108" t="s">
        <v>116</v>
      </c>
      <c r="B49" s="108"/>
      <c r="C49" s="108"/>
      <c r="D49" s="108"/>
      <c r="E49" s="109" t="str">
        <f>"6 Epics  |  "&amp;SUMPRODUCT((E7:E47&lt;&gt;"")*1)&amp;" Subtareas activas"</f>
        <v>6 Epics  |  36 Subtareas activas</v>
      </c>
      <c r="F49" s="109"/>
      <c r="G49" s="109"/>
      <c r="H49" s="109"/>
      <c r="N49" s="44">
        <f>COUNTIF(F7:F47,"Completado")</f>
        <v>0</v>
      </c>
      <c r="O49" s="45">
        <f>IFERROR(COUNTIF(F7:F47,"Completado")/COUNTA(E7:E47),0)</f>
        <v>0</v>
      </c>
    </row>
  </sheetData>
  <mergeCells count="5">
    <mergeCell ref="A2:P2"/>
    <mergeCell ref="A3:P3"/>
    <mergeCell ref="A4:P4"/>
    <mergeCell ref="A49:D49"/>
    <mergeCell ref="E49:H49"/>
  </mergeCells>
  <dataValidations count="1">
    <dataValidation type="list" allowBlank="1" sqref="I7 F9:F12 I14 F16:F19 I21 F23:F26 I28 F30:F33 I35 F37:F40 I42 F44:F47" xr:uid="{00000000-0002-0000-0300-000000000000}">
      <formula1>"Pendiente,En Progreso,En Revisión,Completado,Bloqueado"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4DA9"/>
  </sheetPr>
  <dimension ref="A1:P61"/>
  <sheetViews>
    <sheetView showGridLines="0" zoomScaleNormal="100" workbookViewId="0">
      <pane xSplit="4" ySplit="6" topLeftCell="E50" activePane="bottomRight" state="frozen"/>
      <selection pane="bottomRight" activeCell="F54" sqref="F54"/>
      <selection pane="bottomLeft" activeCell="A7" sqref="A7"/>
      <selection pane="topRight" activeCell="E1" sqref="E1"/>
    </sheetView>
  </sheetViews>
  <sheetFormatPr defaultColWidth="8.5703125" defaultRowHeight="14.45"/>
  <cols>
    <col min="1" max="1" width="2" customWidth="1"/>
    <col min="2" max="2" width="4" customWidth="1"/>
    <col min="3" max="3" width="3" hidden="1" customWidth="1"/>
    <col min="4" max="4" width="12" customWidth="1"/>
    <col min="5" max="5" width="28" customWidth="1"/>
    <col min="6" max="6" width="36" customWidth="1"/>
    <col min="7" max="7" width="20" customWidth="1"/>
    <col min="8" max="8" width="12" customWidth="1"/>
    <col min="9" max="9" width="16" customWidth="1"/>
    <col min="10" max="10" width="18" customWidth="1"/>
    <col min="11" max="12" width="13" customWidth="1"/>
    <col min="13" max="13" width="9" customWidth="1"/>
    <col min="14" max="14" width="10" customWidth="1"/>
    <col min="15" max="15" width="9" customWidth="1"/>
    <col min="16" max="16" width="34" customWidth="1"/>
  </cols>
  <sheetData>
    <row r="1" spans="1:16" ht="7.5" customHeight="1"/>
    <row r="2" spans="1:16" ht="43.5" customHeight="1">
      <c r="A2" s="105" t="s">
        <v>18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ht="19.5" customHeight="1">
      <c r="A3" s="116" t="s">
        <v>14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</row>
    <row r="4" spans="1:16" ht="48" customHeight="1">
      <c r="A4" s="117" t="s">
        <v>233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</row>
    <row r="5" spans="1:16" ht="7.5" customHeight="1"/>
    <row r="6" spans="1:16" ht="27.75" customHeight="1">
      <c r="A6" s="70"/>
      <c r="B6" s="70" t="s">
        <v>20</v>
      </c>
      <c r="C6" s="70" t="s">
        <v>21</v>
      </c>
      <c r="D6" s="70" t="s">
        <v>22</v>
      </c>
      <c r="E6" s="70" t="s">
        <v>23</v>
      </c>
      <c r="F6" s="70" t="s">
        <v>24</v>
      </c>
      <c r="G6" s="70" t="s">
        <v>25</v>
      </c>
      <c r="H6" s="70" t="s">
        <v>26</v>
      </c>
      <c r="I6" s="70" t="s">
        <v>27</v>
      </c>
      <c r="J6" s="70" t="s">
        <v>28</v>
      </c>
      <c r="K6" s="70" t="s">
        <v>29</v>
      </c>
      <c r="L6" s="70" t="s">
        <v>30</v>
      </c>
      <c r="M6" s="70" t="s">
        <v>3</v>
      </c>
      <c r="N6" s="70" t="s">
        <v>4</v>
      </c>
      <c r="O6" s="70" t="s">
        <v>10</v>
      </c>
      <c r="P6" s="70" t="s">
        <v>31</v>
      </c>
    </row>
    <row r="7" spans="1:16" ht="39.75" customHeight="1">
      <c r="A7" s="25"/>
      <c r="B7" s="71"/>
      <c r="C7" s="72" t="b">
        <f>FALSE()</f>
        <v>0</v>
      </c>
      <c r="D7" s="73" t="s">
        <v>234</v>
      </c>
      <c r="E7" s="74" t="s">
        <v>235</v>
      </c>
      <c r="F7" s="75" t="s">
        <v>236</v>
      </c>
      <c r="G7" s="38" t="s">
        <v>237</v>
      </c>
      <c r="H7" s="39" t="s">
        <v>36</v>
      </c>
      <c r="I7" s="40" t="str">
        <f>IF(C7,"Completado","Pendiente")</f>
        <v>Pendiente</v>
      </c>
      <c r="J7" s="41"/>
      <c r="K7" s="42"/>
      <c r="L7" s="42"/>
      <c r="M7" s="43">
        <f>COUNTA(E9:E62)</f>
        <v>45</v>
      </c>
      <c r="N7" s="44">
        <f>COUNTIF(F9:F62,"Completado")</f>
        <v>0</v>
      </c>
      <c r="O7" s="76">
        <f>IFERROR(COUNTIF(F9:F62,"Completado")/COUNTA(E9:E62),0)</f>
        <v>0</v>
      </c>
      <c r="P7" s="46"/>
    </row>
    <row r="8" spans="1:16" ht="18" customHeight="1">
      <c r="A8" s="77"/>
      <c r="B8" s="77" t="s">
        <v>20</v>
      </c>
      <c r="C8" s="77" t="s">
        <v>21</v>
      </c>
      <c r="D8" s="77" t="s">
        <v>38</v>
      </c>
      <c r="E8" s="77" t="s">
        <v>39</v>
      </c>
      <c r="F8" s="77" t="s">
        <v>27</v>
      </c>
      <c r="G8" s="77" t="s">
        <v>28</v>
      </c>
      <c r="H8" s="77" t="s">
        <v>30</v>
      </c>
      <c r="I8" s="77" t="s">
        <v>40</v>
      </c>
      <c r="J8" s="25"/>
      <c r="K8" s="25"/>
      <c r="L8" s="25"/>
      <c r="M8" s="25"/>
      <c r="N8" s="25"/>
      <c r="O8" s="25"/>
      <c r="P8" s="25"/>
    </row>
    <row r="9" spans="1:16" ht="25.5" customHeight="1">
      <c r="A9" s="48"/>
      <c r="B9" s="71"/>
      <c r="C9" s="72" t="b">
        <f>FALSE()</f>
        <v>0</v>
      </c>
      <c r="D9" s="78" t="s">
        <v>234</v>
      </c>
      <c r="E9" s="79" t="s">
        <v>238</v>
      </c>
      <c r="F9" s="40" t="str">
        <f>IF(C9,"Completado","Pendiente")</f>
        <v>Pendiente</v>
      </c>
      <c r="G9" s="41"/>
      <c r="H9" s="42"/>
      <c r="I9" s="46"/>
      <c r="J9" s="72"/>
      <c r="K9" s="72"/>
      <c r="L9" s="72"/>
      <c r="M9" s="72"/>
      <c r="N9" s="72"/>
      <c r="O9" s="72"/>
      <c r="P9" s="72"/>
    </row>
    <row r="10" spans="1:16" ht="25.5" customHeight="1">
      <c r="A10" s="48"/>
      <c r="B10" s="51"/>
      <c r="C10" s="52" t="b">
        <f>FALSE()</f>
        <v>0</v>
      </c>
      <c r="D10" s="53" t="s">
        <v>234</v>
      </c>
      <c r="E10" s="54" t="s">
        <v>239</v>
      </c>
      <c r="F10" s="40" t="str">
        <f>IF(C10,"Completado","Pendiente")</f>
        <v>Pendiente</v>
      </c>
      <c r="G10" s="41"/>
      <c r="H10" s="42"/>
      <c r="I10" s="46"/>
      <c r="J10" s="52"/>
      <c r="K10" s="52"/>
      <c r="L10" s="52"/>
      <c r="M10" s="52"/>
      <c r="N10" s="52"/>
      <c r="O10" s="52"/>
      <c r="P10" s="52"/>
    </row>
    <row r="11" spans="1:16" ht="25.5" customHeight="1">
      <c r="A11" s="48"/>
      <c r="B11" s="71"/>
      <c r="C11" s="72" t="b">
        <f>FALSE()</f>
        <v>0</v>
      </c>
      <c r="D11" s="78" t="s">
        <v>234</v>
      </c>
      <c r="E11" s="79" t="s">
        <v>240</v>
      </c>
      <c r="F11" s="40" t="str">
        <f>IF(C11,"Completado","Pendiente")</f>
        <v>Pendiente</v>
      </c>
      <c r="G11" s="41"/>
      <c r="H11" s="42"/>
      <c r="I11" s="46"/>
      <c r="J11" s="72"/>
      <c r="K11" s="72"/>
      <c r="L11" s="72"/>
      <c r="M11" s="72"/>
      <c r="N11" s="72"/>
      <c r="O11" s="72"/>
      <c r="P11" s="72"/>
    </row>
    <row r="12" spans="1:16" ht="25.5" customHeight="1">
      <c r="A12" s="48"/>
      <c r="B12" s="51"/>
      <c r="C12" s="52" t="b">
        <f>FALSE()</f>
        <v>0</v>
      </c>
      <c r="D12" s="53" t="s">
        <v>234</v>
      </c>
      <c r="E12" s="54" t="s">
        <v>241</v>
      </c>
      <c r="F12" s="40" t="str">
        <f>IF(C12,"Completado","Pendiente")</f>
        <v>Pendiente</v>
      </c>
      <c r="G12" s="41"/>
      <c r="H12" s="42"/>
      <c r="I12" s="46"/>
      <c r="J12" s="52"/>
      <c r="K12" s="52"/>
      <c r="L12" s="52"/>
      <c r="M12" s="52"/>
      <c r="N12" s="52"/>
      <c r="O12" s="52"/>
      <c r="P12" s="52"/>
    </row>
    <row r="13" spans="1:16" ht="4.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</row>
    <row r="14" spans="1:16" ht="39.75" customHeight="1">
      <c r="A14" s="25"/>
      <c r="B14" s="51"/>
      <c r="C14" s="52" t="b">
        <f>FALSE()</f>
        <v>0</v>
      </c>
      <c r="D14" s="80" t="s">
        <v>242</v>
      </c>
      <c r="E14" s="56" t="s">
        <v>243</v>
      </c>
      <c r="F14" s="57" t="s">
        <v>244</v>
      </c>
      <c r="G14" s="38" t="s">
        <v>245</v>
      </c>
      <c r="H14" s="39" t="s">
        <v>36</v>
      </c>
      <c r="I14" s="40" t="str">
        <f>IF(C14,"Completado","Pendiente")</f>
        <v>Pendiente</v>
      </c>
      <c r="J14" s="41"/>
      <c r="K14" s="42"/>
      <c r="L14" s="42"/>
      <c r="M14" s="43">
        <f>COUNTA(E16:E69)</f>
        <v>39</v>
      </c>
      <c r="N14" s="44">
        <f>COUNTIF(F16:F69,"Completado")</f>
        <v>0</v>
      </c>
      <c r="O14" s="76">
        <f>IFERROR(COUNTIF(F16:F69,"Completado")/COUNTA(E16:E69),0)</f>
        <v>0</v>
      </c>
      <c r="P14" s="46"/>
    </row>
    <row r="15" spans="1:16" ht="18" customHeight="1">
      <c r="A15" s="77"/>
      <c r="B15" s="77" t="s">
        <v>20</v>
      </c>
      <c r="C15" s="77" t="s">
        <v>21</v>
      </c>
      <c r="D15" s="77" t="s">
        <v>38</v>
      </c>
      <c r="E15" s="77" t="s">
        <v>39</v>
      </c>
      <c r="F15" s="77" t="s">
        <v>27</v>
      </c>
      <c r="G15" s="77" t="s">
        <v>28</v>
      </c>
      <c r="H15" s="77" t="s">
        <v>30</v>
      </c>
      <c r="I15" s="77" t="s">
        <v>40</v>
      </c>
      <c r="J15" s="25"/>
      <c r="K15" s="25"/>
      <c r="L15" s="25"/>
      <c r="M15" s="25"/>
      <c r="N15" s="25"/>
      <c r="O15" s="25"/>
      <c r="P15" s="25"/>
    </row>
    <row r="16" spans="1:16" ht="25.5" customHeight="1">
      <c r="A16" s="48"/>
      <c r="B16" s="71"/>
      <c r="C16" s="72" t="b">
        <f>FALSE()</f>
        <v>0</v>
      </c>
      <c r="D16" s="78" t="s">
        <v>242</v>
      </c>
      <c r="E16" s="79" t="s">
        <v>246</v>
      </c>
      <c r="F16" s="40" t="str">
        <f>IF(C16,"Completado","Pendiente")</f>
        <v>Pendiente</v>
      </c>
      <c r="G16" s="41"/>
      <c r="H16" s="42"/>
      <c r="I16" s="46"/>
      <c r="J16" s="72"/>
      <c r="K16" s="72"/>
      <c r="L16" s="72"/>
      <c r="M16" s="72"/>
      <c r="N16" s="72"/>
      <c r="O16" s="72"/>
      <c r="P16" s="72"/>
    </row>
    <row r="17" spans="1:16" ht="25.5" customHeight="1">
      <c r="A17" s="48"/>
      <c r="B17" s="51"/>
      <c r="C17" s="52" t="b">
        <f>FALSE()</f>
        <v>0</v>
      </c>
      <c r="D17" s="53" t="s">
        <v>242</v>
      </c>
      <c r="E17" s="54" t="s">
        <v>247</v>
      </c>
      <c r="F17" s="40" t="str">
        <f>IF(C17,"Completado","Pendiente")</f>
        <v>Pendiente</v>
      </c>
      <c r="G17" s="41"/>
      <c r="H17" s="42"/>
      <c r="I17" s="46"/>
      <c r="J17" s="52"/>
      <c r="K17" s="52"/>
      <c r="L17" s="52"/>
      <c r="M17" s="52"/>
      <c r="N17" s="52"/>
      <c r="O17" s="52"/>
      <c r="P17" s="52"/>
    </row>
    <row r="18" spans="1:16" ht="25.5" customHeight="1">
      <c r="A18" s="48"/>
      <c r="B18" s="71"/>
      <c r="C18" s="72" t="b">
        <f>FALSE()</f>
        <v>0</v>
      </c>
      <c r="D18" s="78" t="s">
        <v>242</v>
      </c>
      <c r="E18" s="79" t="s">
        <v>248</v>
      </c>
      <c r="F18" s="40" t="str">
        <f>IF(C18,"Completado","Pendiente")</f>
        <v>Pendiente</v>
      </c>
      <c r="G18" s="41"/>
      <c r="H18" s="42"/>
      <c r="I18" s="46"/>
      <c r="J18" s="72"/>
      <c r="K18" s="72"/>
      <c r="L18" s="72"/>
      <c r="M18" s="72"/>
      <c r="N18" s="72"/>
      <c r="O18" s="72"/>
      <c r="P18" s="72"/>
    </row>
    <row r="19" spans="1:16" ht="25.5" customHeight="1">
      <c r="A19" s="48"/>
      <c r="B19" s="51"/>
      <c r="C19" s="52" t="b">
        <f>FALSE()</f>
        <v>0</v>
      </c>
      <c r="D19" s="53" t="s">
        <v>242</v>
      </c>
      <c r="E19" s="54" t="s">
        <v>249</v>
      </c>
      <c r="F19" s="40" t="str">
        <f>IF(C19,"Completado","Pendiente")</f>
        <v>Pendiente</v>
      </c>
      <c r="G19" s="41"/>
      <c r="H19" s="42"/>
      <c r="I19" s="46"/>
      <c r="J19" s="52"/>
      <c r="K19" s="52"/>
      <c r="L19" s="52"/>
      <c r="M19" s="52"/>
      <c r="N19" s="52"/>
      <c r="O19" s="52"/>
      <c r="P19" s="52"/>
    </row>
    <row r="20" spans="1:16" ht="4.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spans="1:16" ht="39.75" customHeight="1">
      <c r="A21" s="25"/>
      <c r="B21" s="71"/>
      <c r="C21" s="72" t="b">
        <f>FALSE()</f>
        <v>0</v>
      </c>
      <c r="D21" s="73" t="s">
        <v>250</v>
      </c>
      <c r="E21" s="74" t="s">
        <v>251</v>
      </c>
      <c r="F21" s="75" t="s">
        <v>252</v>
      </c>
      <c r="G21" s="38" t="s">
        <v>165</v>
      </c>
      <c r="H21" s="39" t="s">
        <v>36</v>
      </c>
      <c r="I21" s="40" t="str">
        <f>IF(C21,"Completado","Pendiente")</f>
        <v>Pendiente</v>
      </c>
      <c r="J21" s="41"/>
      <c r="K21" s="42"/>
      <c r="L21" s="42"/>
      <c r="M21" s="43">
        <f>COUNTA(E23:E76)</f>
        <v>33</v>
      </c>
      <c r="N21" s="44">
        <f>COUNTIF(F23:F76,"Completado")</f>
        <v>0</v>
      </c>
      <c r="O21" s="76">
        <f>IFERROR(COUNTIF(F23:F76,"Completado")/COUNTA(E23:E76),0)</f>
        <v>0</v>
      </c>
      <c r="P21" s="46"/>
    </row>
    <row r="22" spans="1:16" ht="18" customHeight="1">
      <c r="A22" s="77"/>
      <c r="B22" s="77" t="s">
        <v>20</v>
      </c>
      <c r="C22" s="77" t="s">
        <v>21</v>
      </c>
      <c r="D22" s="77" t="s">
        <v>38</v>
      </c>
      <c r="E22" s="77" t="s">
        <v>39</v>
      </c>
      <c r="F22" s="77" t="s">
        <v>27</v>
      </c>
      <c r="G22" s="77" t="s">
        <v>28</v>
      </c>
      <c r="H22" s="77" t="s">
        <v>30</v>
      </c>
      <c r="I22" s="77" t="s">
        <v>40</v>
      </c>
      <c r="J22" s="25"/>
      <c r="K22" s="25"/>
      <c r="L22" s="25"/>
      <c r="M22" s="25"/>
      <c r="N22" s="25"/>
      <c r="O22" s="25"/>
      <c r="P22" s="25"/>
    </row>
    <row r="23" spans="1:16" ht="25.5" customHeight="1">
      <c r="A23" s="48"/>
      <c r="B23" s="71"/>
      <c r="C23" s="72" t="b">
        <f>FALSE()</f>
        <v>0</v>
      </c>
      <c r="D23" s="78" t="s">
        <v>250</v>
      </c>
      <c r="E23" s="79" t="s">
        <v>253</v>
      </c>
      <c r="F23" s="40" t="str">
        <f>IF(C23,"Completado","Pendiente")</f>
        <v>Pendiente</v>
      </c>
      <c r="G23" s="41"/>
      <c r="H23" s="42"/>
      <c r="I23" s="46"/>
      <c r="J23" s="72"/>
      <c r="K23" s="72"/>
      <c r="L23" s="72"/>
      <c r="M23" s="72"/>
      <c r="N23" s="72"/>
      <c r="O23" s="72"/>
      <c r="P23" s="72"/>
    </row>
    <row r="24" spans="1:16" ht="25.5" customHeight="1">
      <c r="A24" s="48"/>
      <c r="B24" s="51"/>
      <c r="C24" s="52" t="b">
        <f>FALSE()</f>
        <v>0</v>
      </c>
      <c r="D24" s="53" t="s">
        <v>250</v>
      </c>
      <c r="E24" s="54" t="s">
        <v>254</v>
      </c>
      <c r="F24" s="40" t="str">
        <f>IF(C24,"Completado","Pendiente")</f>
        <v>Pendiente</v>
      </c>
      <c r="G24" s="41"/>
      <c r="H24" s="42"/>
      <c r="I24" s="46"/>
      <c r="J24" s="52"/>
      <c r="K24" s="52"/>
      <c r="L24" s="52"/>
      <c r="M24" s="52"/>
      <c r="N24" s="52"/>
      <c r="O24" s="52"/>
      <c r="P24" s="52"/>
    </row>
    <row r="25" spans="1:16" ht="25.5" customHeight="1">
      <c r="A25" s="48"/>
      <c r="B25" s="71"/>
      <c r="C25" s="72" t="b">
        <f>FALSE()</f>
        <v>0</v>
      </c>
      <c r="D25" s="78" t="s">
        <v>250</v>
      </c>
      <c r="E25" s="79" t="s">
        <v>255</v>
      </c>
      <c r="F25" s="40" t="str">
        <f>IF(C25,"Completado","Pendiente")</f>
        <v>Pendiente</v>
      </c>
      <c r="G25" s="41"/>
      <c r="H25" s="42"/>
      <c r="I25" s="46"/>
      <c r="J25" s="72"/>
      <c r="K25" s="72"/>
      <c r="L25" s="72"/>
      <c r="M25" s="72"/>
      <c r="N25" s="72"/>
      <c r="O25" s="72"/>
      <c r="P25" s="72"/>
    </row>
    <row r="26" spans="1:16" ht="25.5" customHeight="1">
      <c r="A26" s="48"/>
      <c r="B26" s="51"/>
      <c r="C26" s="52" t="b">
        <f>FALSE()</f>
        <v>0</v>
      </c>
      <c r="D26" s="53" t="s">
        <v>250</v>
      </c>
      <c r="E26" s="54" t="s">
        <v>256</v>
      </c>
      <c r="F26" s="40" t="str">
        <f>IF(C26,"Completado","Pendiente")</f>
        <v>Pendiente</v>
      </c>
      <c r="G26" s="41"/>
      <c r="H26" s="42"/>
      <c r="I26" s="46"/>
      <c r="J26" s="52"/>
      <c r="K26" s="52"/>
      <c r="L26" s="52"/>
      <c r="M26" s="52"/>
      <c r="N26" s="52"/>
      <c r="O26" s="52"/>
      <c r="P26" s="52"/>
    </row>
    <row r="27" spans="1:16" ht="4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</row>
    <row r="28" spans="1:16" ht="39.75" customHeight="1">
      <c r="A28" s="25"/>
      <c r="B28" s="51"/>
      <c r="C28" s="52" t="b">
        <f>FALSE()</f>
        <v>0</v>
      </c>
      <c r="D28" s="80" t="s">
        <v>257</v>
      </c>
      <c r="E28" s="56" t="s">
        <v>258</v>
      </c>
      <c r="F28" s="57" t="s">
        <v>259</v>
      </c>
      <c r="G28" s="38" t="s">
        <v>90</v>
      </c>
      <c r="H28" s="39" t="s">
        <v>36</v>
      </c>
      <c r="I28" s="40" t="str">
        <f>IF(C28,"Completado","Pendiente")</f>
        <v>Pendiente</v>
      </c>
      <c r="J28" s="41"/>
      <c r="K28" s="42"/>
      <c r="L28" s="42"/>
      <c r="M28" s="43">
        <f>COUNTA(E30:E83)</f>
        <v>27</v>
      </c>
      <c r="N28" s="44">
        <f>COUNTIF(F30:F83,"Completado")</f>
        <v>0</v>
      </c>
      <c r="O28" s="76">
        <f>IFERROR(COUNTIF(F30:F83,"Completado")/COUNTA(E30:E83),0)</f>
        <v>0</v>
      </c>
      <c r="P28" s="46"/>
    </row>
    <row r="29" spans="1:16" ht="18" customHeight="1">
      <c r="A29" s="77"/>
      <c r="B29" s="77" t="s">
        <v>20</v>
      </c>
      <c r="C29" s="77" t="s">
        <v>21</v>
      </c>
      <c r="D29" s="77" t="s">
        <v>38</v>
      </c>
      <c r="E29" s="77" t="s">
        <v>39</v>
      </c>
      <c r="F29" s="77" t="s">
        <v>27</v>
      </c>
      <c r="G29" s="77" t="s">
        <v>28</v>
      </c>
      <c r="H29" s="77" t="s">
        <v>30</v>
      </c>
      <c r="I29" s="77" t="s">
        <v>40</v>
      </c>
      <c r="J29" s="25"/>
      <c r="K29" s="25"/>
      <c r="L29" s="25"/>
      <c r="M29" s="25"/>
      <c r="N29" s="25"/>
      <c r="O29" s="25"/>
      <c r="P29" s="25"/>
    </row>
    <row r="30" spans="1:16" ht="25.5" customHeight="1">
      <c r="A30" s="48"/>
      <c r="B30" s="71"/>
      <c r="C30" s="72" t="b">
        <f>FALSE()</f>
        <v>0</v>
      </c>
      <c r="D30" s="78" t="s">
        <v>257</v>
      </c>
      <c r="E30" s="79" t="s">
        <v>260</v>
      </c>
      <c r="F30" s="40" t="str">
        <f>IF(C30,"Completado","Pendiente")</f>
        <v>Pendiente</v>
      </c>
      <c r="G30" s="41"/>
      <c r="H30" s="42"/>
      <c r="I30" s="46"/>
      <c r="J30" s="72"/>
      <c r="K30" s="72"/>
      <c r="L30" s="72"/>
      <c r="M30" s="72"/>
      <c r="N30" s="72"/>
      <c r="O30" s="72"/>
      <c r="P30" s="72"/>
    </row>
    <row r="31" spans="1:16" ht="25.5" customHeight="1">
      <c r="A31" s="48"/>
      <c r="B31" s="51"/>
      <c r="C31" s="52" t="b">
        <f>FALSE()</f>
        <v>0</v>
      </c>
      <c r="D31" s="53" t="s">
        <v>257</v>
      </c>
      <c r="E31" s="54" t="s">
        <v>261</v>
      </c>
      <c r="F31" s="40" t="str">
        <f>IF(C31,"Completado","Pendiente")</f>
        <v>Pendiente</v>
      </c>
      <c r="G31" s="41"/>
      <c r="H31" s="42"/>
      <c r="I31" s="46"/>
      <c r="J31" s="52"/>
      <c r="K31" s="52"/>
      <c r="L31" s="52"/>
      <c r="M31" s="52"/>
      <c r="N31" s="52"/>
      <c r="O31" s="52"/>
      <c r="P31" s="52"/>
    </row>
    <row r="32" spans="1:16" ht="25.5" customHeight="1">
      <c r="A32" s="48"/>
      <c r="B32" s="71"/>
      <c r="C32" s="72" t="b">
        <f>FALSE()</f>
        <v>0</v>
      </c>
      <c r="D32" s="78" t="s">
        <v>257</v>
      </c>
      <c r="E32" s="79" t="s">
        <v>262</v>
      </c>
      <c r="F32" s="40" t="str">
        <f>IF(C32,"Completado","Pendiente")</f>
        <v>Pendiente</v>
      </c>
      <c r="G32" s="41"/>
      <c r="H32" s="42"/>
      <c r="I32" s="46"/>
      <c r="J32" s="72"/>
      <c r="K32" s="72"/>
      <c r="L32" s="72"/>
      <c r="M32" s="72"/>
      <c r="N32" s="72"/>
      <c r="O32" s="72"/>
      <c r="P32" s="72"/>
    </row>
    <row r="33" spans="1:16" ht="25.5" customHeight="1">
      <c r="A33" s="48"/>
      <c r="B33" s="51"/>
      <c r="C33" s="52" t="b">
        <f>FALSE()</f>
        <v>0</v>
      </c>
      <c r="D33" s="53" t="s">
        <v>257</v>
      </c>
      <c r="E33" s="54" t="s">
        <v>263</v>
      </c>
      <c r="F33" s="40" t="str">
        <f>IF(C33,"Completado","Pendiente")</f>
        <v>Pendiente</v>
      </c>
      <c r="G33" s="41"/>
      <c r="H33" s="42"/>
      <c r="I33" s="46"/>
      <c r="J33" s="52"/>
      <c r="K33" s="52"/>
      <c r="L33" s="52"/>
      <c r="M33" s="52"/>
      <c r="N33" s="52"/>
      <c r="O33" s="52"/>
      <c r="P33" s="52"/>
    </row>
    <row r="34" spans="1:16" ht="4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1:16" ht="39.75" customHeight="1">
      <c r="A35" s="25"/>
      <c r="B35" s="71"/>
      <c r="C35" s="72" t="b">
        <f>FALSE()</f>
        <v>0</v>
      </c>
      <c r="D35" s="73" t="s">
        <v>264</v>
      </c>
      <c r="E35" s="74" t="s">
        <v>265</v>
      </c>
      <c r="F35" s="75" t="s">
        <v>266</v>
      </c>
      <c r="G35" s="38" t="s">
        <v>198</v>
      </c>
      <c r="H35" s="39" t="s">
        <v>36</v>
      </c>
      <c r="I35" s="40" t="str">
        <f>IF(C35,"Completado","Pendiente")</f>
        <v>Pendiente</v>
      </c>
      <c r="J35" s="41"/>
      <c r="K35" s="42"/>
      <c r="L35" s="42"/>
      <c r="M35" s="43">
        <f>COUNTA(E37:E90)</f>
        <v>21</v>
      </c>
      <c r="N35" s="44">
        <f>COUNTIF(F37:F90,"Completado")</f>
        <v>0</v>
      </c>
      <c r="O35" s="76">
        <f>IFERROR(COUNTIF(F37:F90,"Completado")/COUNTA(E37:E90),0)</f>
        <v>0</v>
      </c>
      <c r="P35" s="46"/>
    </row>
    <row r="36" spans="1:16" ht="18" customHeight="1">
      <c r="A36" s="77"/>
      <c r="B36" s="77" t="s">
        <v>20</v>
      </c>
      <c r="C36" s="77" t="s">
        <v>21</v>
      </c>
      <c r="D36" s="77" t="s">
        <v>38</v>
      </c>
      <c r="E36" s="77" t="s">
        <v>39</v>
      </c>
      <c r="F36" s="77" t="s">
        <v>27</v>
      </c>
      <c r="G36" s="77" t="s">
        <v>28</v>
      </c>
      <c r="H36" s="77" t="s">
        <v>30</v>
      </c>
      <c r="I36" s="77" t="s">
        <v>40</v>
      </c>
      <c r="J36" s="25"/>
      <c r="K36" s="25"/>
      <c r="L36" s="25"/>
      <c r="M36" s="25"/>
      <c r="N36" s="25"/>
      <c r="O36" s="25"/>
      <c r="P36" s="25"/>
    </row>
    <row r="37" spans="1:16" ht="25.5" customHeight="1">
      <c r="A37" s="48"/>
      <c r="B37" s="71"/>
      <c r="C37" s="72" t="b">
        <f>FALSE()</f>
        <v>0</v>
      </c>
      <c r="D37" s="78" t="s">
        <v>264</v>
      </c>
      <c r="E37" s="79" t="s">
        <v>267</v>
      </c>
      <c r="F37" s="40" t="str">
        <f>IF(C37,"Completado","Pendiente")</f>
        <v>Pendiente</v>
      </c>
      <c r="G37" s="41"/>
      <c r="H37" s="42"/>
      <c r="I37" s="46"/>
      <c r="J37" s="72"/>
      <c r="K37" s="72"/>
      <c r="L37" s="72"/>
      <c r="M37" s="72"/>
      <c r="N37" s="72"/>
      <c r="O37" s="72"/>
      <c r="P37" s="72"/>
    </row>
    <row r="38" spans="1:16" ht="25.5" customHeight="1">
      <c r="A38" s="48"/>
      <c r="B38" s="51"/>
      <c r="C38" s="52" t="b">
        <f>FALSE()</f>
        <v>0</v>
      </c>
      <c r="D38" s="53" t="s">
        <v>264</v>
      </c>
      <c r="E38" s="54" t="s">
        <v>268</v>
      </c>
      <c r="F38" s="40" t="str">
        <f>IF(C38,"Completado","Pendiente")</f>
        <v>Pendiente</v>
      </c>
      <c r="G38" s="41"/>
      <c r="H38" s="42"/>
      <c r="I38" s="46"/>
      <c r="J38" s="52"/>
      <c r="K38" s="52"/>
      <c r="L38" s="52"/>
      <c r="M38" s="52"/>
      <c r="N38" s="52"/>
      <c r="O38" s="52"/>
      <c r="P38" s="52"/>
    </row>
    <row r="39" spans="1:16" ht="25.5" customHeight="1">
      <c r="A39" s="48"/>
      <c r="B39" s="71"/>
      <c r="C39" s="72" t="b">
        <f>FALSE()</f>
        <v>0</v>
      </c>
      <c r="D39" s="78" t="s">
        <v>264</v>
      </c>
      <c r="E39" s="79" t="s">
        <v>269</v>
      </c>
      <c r="F39" s="40" t="str">
        <f>IF(C39,"Completado","Pendiente")</f>
        <v>Pendiente</v>
      </c>
      <c r="G39" s="41"/>
      <c r="H39" s="42"/>
      <c r="I39" s="46"/>
      <c r="J39" s="72"/>
      <c r="K39" s="72"/>
      <c r="L39" s="72"/>
      <c r="M39" s="72"/>
      <c r="N39" s="72"/>
      <c r="O39" s="72"/>
      <c r="P39" s="72"/>
    </row>
    <row r="40" spans="1:16" ht="25.5" customHeight="1">
      <c r="A40" s="48"/>
      <c r="B40" s="51"/>
      <c r="C40" s="52" t="b">
        <f>FALSE()</f>
        <v>0</v>
      </c>
      <c r="D40" s="53" t="s">
        <v>264</v>
      </c>
      <c r="E40" s="54" t="s">
        <v>270</v>
      </c>
      <c r="F40" s="40" t="str">
        <f>IF(C40,"Completado","Pendiente")</f>
        <v>Pendiente</v>
      </c>
      <c r="G40" s="41"/>
      <c r="H40" s="42"/>
      <c r="I40" s="46"/>
      <c r="J40" s="52"/>
      <c r="K40" s="52"/>
      <c r="L40" s="52"/>
      <c r="M40" s="52"/>
      <c r="N40" s="52"/>
      <c r="O40" s="52"/>
      <c r="P40" s="52"/>
    </row>
    <row r="41" spans="1:16" ht="4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16" ht="39.75" customHeight="1">
      <c r="A42" s="25"/>
      <c r="B42" s="51"/>
      <c r="C42" s="52" t="b">
        <f>FALSE()</f>
        <v>0</v>
      </c>
      <c r="D42" s="80" t="s">
        <v>271</v>
      </c>
      <c r="E42" s="56" t="s">
        <v>272</v>
      </c>
      <c r="F42" s="57" t="s">
        <v>273</v>
      </c>
      <c r="G42" s="38" t="s">
        <v>131</v>
      </c>
      <c r="H42" s="58" t="s">
        <v>101</v>
      </c>
      <c r="I42" s="40" t="str">
        <f>IF(C42,"Completado","Pendiente")</f>
        <v>Pendiente</v>
      </c>
      <c r="J42" s="41"/>
      <c r="K42" s="42"/>
      <c r="L42" s="42"/>
      <c r="M42" s="43">
        <f>COUNTA(E44:E96)</f>
        <v>15</v>
      </c>
      <c r="N42" s="44">
        <f>COUNTIF(F44:F96,"Completado")</f>
        <v>0</v>
      </c>
      <c r="O42" s="76">
        <f>IFERROR(COUNTIF(F44:F96,"Completado")/COUNTA(E44:E96),0)</f>
        <v>0</v>
      </c>
      <c r="P42" s="46"/>
    </row>
    <row r="43" spans="1:16" ht="18" customHeight="1">
      <c r="A43" s="77"/>
      <c r="B43" s="77" t="s">
        <v>20</v>
      </c>
      <c r="C43" s="77" t="s">
        <v>21</v>
      </c>
      <c r="D43" s="77" t="s">
        <v>38</v>
      </c>
      <c r="E43" s="77" t="s">
        <v>39</v>
      </c>
      <c r="F43" s="77" t="s">
        <v>27</v>
      </c>
      <c r="G43" s="77" t="s">
        <v>28</v>
      </c>
      <c r="H43" s="77" t="s">
        <v>30</v>
      </c>
      <c r="I43" s="77" t="s">
        <v>40</v>
      </c>
      <c r="J43" s="25"/>
      <c r="K43" s="25"/>
      <c r="L43" s="25"/>
      <c r="M43" s="25"/>
      <c r="N43" s="25"/>
      <c r="O43" s="25"/>
      <c r="P43" s="25"/>
    </row>
    <row r="44" spans="1:16" ht="25.5" customHeight="1">
      <c r="A44" s="48"/>
      <c r="B44" s="71"/>
      <c r="C44" s="72" t="b">
        <f>FALSE()</f>
        <v>0</v>
      </c>
      <c r="D44" s="78" t="s">
        <v>271</v>
      </c>
      <c r="E44" s="79" t="s">
        <v>274</v>
      </c>
      <c r="F44" s="40" t="str">
        <f>IF(C44,"Completado","Pendiente")</f>
        <v>Pendiente</v>
      </c>
      <c r="G44" s="41"/>
      <c r="H44" s="42"/>
      <c r="I44" s="46"/>
      <c r="J44" s="72"/>
      <c r="K44" s="72"/>
      <c r="L44" s="72"/>
      <c r="M44" s="72"/>
      <c r="N44" s="72"/>
      <c r="O44" s="72"/>
      <c r="P44" s="72"/>
    </row>
    <row r="45" spans="1:16" ht="25.5" customHeight="1">
      <c r="A45" s="48"/>
      <c r="B45" s="51"/>
      <c r="C45" s="52" t="b">
        <f>FALSE()</f>
        <v>0</v>
      </c>
      <c r="D45" s="53" t="s">
        <v>271</v>
      </c>
      <c r="E45" s="54" t="s">
        <v>275</v>
      </c>
      <c r="F45" s="40" t="str">
        <f>IF(C45,"Completado","Pendiente")</f>
        <v>Pendiente</v>
      </c>
      <c r="G45" s="41"/>
      <c r="H45" s="42"/>
      <c r="I45" s="46"/>
      <c r="J45" s="52"/>
      <c r="K45" s="52"/>
      <c r="L45" s="52"/>
      <c r="M45" s="52"/>
      <c r="N45" s="52"/>
      <c r="O45" s="52"/>
      <c r="P45" s="52"/>
    </row>
    <row r="46" spans="1:16" ht="25.5" customHeight="1">
      <c r="A46" s="48"/>
      <c r="B46" s="71"/>
      <c r="C46" s="72" t="b">
        <f>FALSE()</f>
        <v>0</v>
      </c>
      <c r="D46" s="78" t="s">
        <v>271</v>
      </c>
      <c r="E46" s="79" t="s">
        <v>276</v>
      </c>
      <c r="F46" s="40" t="str">
        <f>IF(C46,"Completado","Pendiente")</f>
        <v>Pendiente</v>
      </c>
      <c r="G46" s="41"/>
      <c r="H46" s="42"/>
      <c r="I46" s="46"/>
      <c r="J46" s="72"/>
      <c r="K46" s="72"/>
      <c r="L46" s="72"/>
      <c r="M46" s="72"/>
      <c r="N46" s="72"/>
      <c r="O46" s="72"/>
      <c r="P46" s="72"/>
    </row>
    <row r="47" spans="1:16" ht="4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1:16" ht="39.75" customHeight="1">
      <c r="A48" s="25"/>
      <c r="B48" s="71"/>
      <c r="C48" s="72" t="b">
        <f>FALSE()</f>
        <v>0</v>
      </c>
      <c r="D48" s="73" t="s">
        <v>277</v>
      </c>
      <c r="E48" s="74" t="s">
        <v>278</v>
      </c>
      <c r="F48" s="75" t="s">
        <v>279</v>
      </c>
      <c r="G48" s="38" t="s">
        <v>90</v>
      </c>
      <c r="H48" s="58" t="s">
        <v>101</v>
      </c>
      <c r="I48" s="40" t="str">
        <f>IF(C48,"Completado","Pendiente")</f>
        <v>Pendiente</v>
      </c>
      <c r="J48" s="41"/>
      <c r="K48" s="42"/>
      <c r="L48" s="42"/>
      <c r="M48" s="43">
        <f>COUNTA(E50:E102)</f>
        <v>10</v>
      </c>
      <c r="N48" s="44">
        <f>COUNTIF(F50:F102,"Completado")</f>
        <v>0</v>
      </c>
      <c r="O48" s="76">
        <f>IFERROR(COUNTIF(F50:F102,"Completado")/COUNTA(E50:E102),0)</f>
        <v>0</v>
      </c>
      <c r="P48" s="46"/>
    </row>
    <row r="49" spans="1:16" ht="18" customHeight="1">
      <c r="A49" s="77"/>
      <c r="B49" s="77" t="s">
        <v>20</v>
      </c>
      <c r="C49" s="77" t="s">
        <v>21</v>
      </c>
      <c r="D49" s="77" t="s">
        <v>38</v>
      </c>
      <c r="E49" s="77" t="s">
        <v>39</v>
      </c>
      <c r="F49" s="77" t="s">
        <v>27</v>
      </c>
      <c r="G49" s="77" t="s">
        <v>28</v>
      </c>
      <c r="H49" s="77" t="s">
        <v>30</v>
      </c>
      <c r="I49" s="77" t="s">
        <v>40</v>
      </c>
      <c r="J49" s="25"/>
      <c r="K49" s="25"/>
      <c r="L49" s="25"/>
      <c r="M49" s="25"/>
      <c r="N49" s="25"/>
      <c r="O49" s="25"/>
      <c r="P49" s="25"/>
    </row>
    <row r="50" spans="1:16" ht="25.5" customHeight="1">
      <c r="A50" s="48"/>
      <c r="B50" s="71"/>
      <c r="C50" s="72" t="b">
        <f>FALSE()</f>
        <v>0</v>
      </c>
      <c r="D50" s="78" t="s">
        <v>277</v>
      </c>
      <c r="E50" s="79" t="s">
        <v>280</v>
      </c>
      <c r="F50" s="40" t="str">
        <f>IF(C50,"Completado","Pendiente")</f>
        <v>Pendiente</v>
      </c>
      <c r="G50" s="41"/>
      <c r="H50" s="42"/>
      <c r="I50" s="46"/>
      <c r="J50" s="72"/>
      <c r="K50" s="72"/>
      <c r="L50" s="72"/>
      <c r="M50" s="72"/>
      <c r="N50" s="72"/>
      <c r="O50" s="72"/>
      <c r="P50" s="72"/>
    </row>
    <row r="51" spans="1:16" ht="25.5" customHeight="1">
      <c r="A51" s="48"/>
      <c r="B51" s="51"/>
      <c r="C51" s="52" t="b">
        <f>FALSE()</f>
        <v>0</v>
      </c>
      <c r="D51" s="53" t="s">
        <v>277</v>
      </c>
      <c r="E51" s="54" t="s">
        <v>281</v>
      </c>
      <c r="F51" s="40" t="str">
        <f>IF(C51,"Completado","Pendiente")</f>
        <v>Pendiente</v>
      </c>
      <c r="G51" s="41"/>
      <c r="H51" s="42"/>
      <c r="I51" s="46"/>
      <c r="J51" s="52"/>
      <c r="K51" s="52"/>
      <c r="L51" s="52"/>
      <c r="M51" s="52"/>
      <c r="N51" s="52"/>
      <c r="O51" s="52"/>
      <c r="P51" s="52"/>
    </row>
    <row r="52" spans="1:16" ht="25.5" customHeight="1">
      <c r="A52" s="48"/>
      <c r="B52" s="71"/>
      <c r="C52" s="72" t="b">
        <f>FALSE()</f>
        <v>0</v>
      </c>
      <c r="D52" s="78" t="s">
        <v>277</v>
      </c>
      <c r="E52" s="79" t="s">
        <v>224</v>
      </c>
      <c r="F52" s="40" t="str">
        <f>IF(C52,"Completado","Pendiente")</f>
        <v>Pendiente</v>
      </c>
      <c r="G52" s="41"/>
      <c r="H52" s="42"/>
      <c r="I52" s="46"/>
      <c r="J52" s="72"/>
      <c r="K52" s="72"/>
      <c r="L52" s="72"/>
      <c r="M52" s="72"/>
      <c r="N52" s="72"/>
      <c r="O52" s="72"/>
      <c r="P52" s="72"/>
    </row>
    <row r="53" spans="1:16" ht="4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1:16" ht="39.75" customHeight="1">
      <c r="A54" s="25"/>
      <c r="B54" s="51"/>
      <c r="C54" s="52" t="b">
        <f>FALSE()</f>
        <v>0</v>
      </c>
      <c r="D54" s="80" t="s">
        <v>282</v>
      </c>
      <c r="E54" s="56" t="s">
        <v>283</v>
      </c>
      <c r="F54" s="57" t="s">
        <v>284</v>
      </c>
      <c r="G54" s="38" t="s">
        <v>285</v>
      </c>
      <c r="H54" s="58" t="s">
        <v>101</v>
      </c>
      <c r="I54" s="40" t="str">
        <f>IF(C54,"Completado","Pendiente")</f>
        <v>Pendiente</v>
      </c>
      <c r="J54" s="41"/>
      <c r="K54" s="42"/>
      <c r="L54" s="42"/>
      <c r="M54" s="43">
        <f>COUNTA(E56:E109)</f>
        <v>5</v>
      </c>
      <c r="N54" s="44">
        <f>COUNTIF(F56:F109,"Completado")</f>
        <v>0</v>
      </c>
      <c r="O54" s="76">
        <f>IFERROR(COUNTIF(F56:F109,"Completado")/COUNTA(E56:E109),0)</f>
        <v>0</v>
      </c>
      <c r="P54" s="46"/>
    </row>
    <row r="55" spans="1:16" ht="18" customHeight="1">
      <c r="A55" s="77"/>
      <c r="B55" s="77" t="s">
        <v>20</v>
      </c>
      <c r="C55" s="77" t="s">
        <v>21</v>
      </c>
      <c r="D55" s="77" t="s">
        <v>38</v>
      </c>
      <c r="E55" s="77" t="s">
        <v>39</v>
      </c>
      <c r="F55" s="77" t="s">
        <v>27</v>
      </c>
      <c r="G55" s="77" t="s">
        <v>28</v>
      </c>
      <c r="H55" s="77" t="s">
        <v>30</v>
      </c>
      <c r="I55" s="77" t="s">
        <v>40</v>
      </c>
      <c r="J55" s="25"/>
      <c r="K55" s="25"/>
      <c r="L55" s="25"/>
      <c r="M55" s="25"/>
      <c r="N55" s="25"/>
      <c r="O55" s="25"/>
      <c r="P55" s="25"/>
    </row>
    <row r="56" spans="1:16" ht="25.5" customHeight="1">
      <c r="A56" s="48"/>
      <c r="B56" s="71"/>
      <c r="C56" s="72" t="b">
        <f>FALSE()</f>
        <v>0</v>
      </c>
      <c r="D56" s="78" t="s">
        <v>282</v>
      </c>
      <c r="E56" s="79" t="s">
        <v>286</v>
      </c>
      <c r="F56" s="40" t="str">
        <f>IF(C56,"Completado","Pendiente")</f>
        <v>Pendiente</v>
      </c>
      <c r="G56" s="41"/>
      <c r="H56" s="42"/>
      <c r="I56" s="46"/>
      <c r="J56" s="72"/>
      <c r="K56" s="72"/>
      <c r="L56" s="72"/>
      <c r="M56" s="72"/>
      <c r="N56" s="72"/>
      <c r="O56" s="72"/>
      <c r="P56" s="72"/>
    </row>
    <row r="57" spans="1:16" ht="25.5" customHeight="1">
      <c r="A57" s="48"/>
      <c r="B57" s="51"/>
      <c r="C57" s="52" t="b">
        <f>FALSE()</f>
        <v>0</v>
      </c>
      <c r="D57" s="53" t="s">
        <v>282</v>
      </c>
      <c r="E57" s="54" t="s">
        <v>287</v>
      </c>
      <c r="F57" s="40" t="str">
        <f>IF(C57,"Completado","Pendiente")</f>
        <v>Pendiente</v>
      </c>
      <c r="G57" s="41"/>
      <c r="H57" s="42"/>
      <c r="I57" s="46"/>
      <c r="J57" s="52"/>
      <c r="K57" s="52"/>
      <c r="L57" s="52"/>
      <c r="M57" s="52"/>
      <c r="N57" s="52"/>
      <c r="O57" s="52"/>
      <c r="P57" s="52"/>
    </row>
    <row r="58" spans="1:16" ht="25.5" customHeight="1">
      <c r="A58" s="48"/>
      <c r="B58" s="71"/>
      <c r="C58" s="72" t="b">
        <f>FALSE()</f>
        <v>0</v>
      </c>
      <c r="D58" s="78" t="s">
        <v>282</v>
      </c>
      <c r="E58" s="79" t="s">
        <v>288</v>
      </c>
      <c r="F58" s="40" t="str">
        <f>IF(C58,"Completado","Pendiente")</f>
        <v>Pendiente</v>
      </c>
      <c r="G58" s="41"/>
      <c r="H58" s="42"/>
      <c r="I58" s="46"/>
      <c r="J58" s="72"/>
      <c r="K58" s="72"/>
      <c r="L58" s="72"/>
      <c r="M58" s="72"/>
      <c r="N58" s="72"/>
      <c r="O58" s="72"/>
      <c r="P58" s="72"/>
    </row>
    <row r="59" spans="1:16" ht="25.5" customHeight="1">
      <c r="A59" s="48"/>
      <c r="B59" s="51"/>
      <c r="C59" s="52" t="b">
        <f>FALSE()</f>
        <v>0</v>
      </c>
      <c r="D59" s="53" t="s">
        <v>282</v>
      </c>
      <c r="E59" s="54" t="s">
        <v>289</v>
      </c>
      <c r="F59" s="40" t="str">
        <f>IF(C59,"Completado","Pendiente")</f>
        <v>Pendiente</v>
      </c>
      <c r="G59" s="41"/>
      <c r="H59" s="42"/>
      <c r="I59" s="46"/>
      <c r="J59" s="52"/>
      <c r="K59" s="52"/>
      <c r="L59" s="52"/>
      <c r="M59" s="52"/>
      <c r="N59" s="52"/>
      <c r="O59" s="52"/>
      <c r="P59" s="52"/>
    </row>
    <row r="60" spans="1:16" ht="4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</row>
    <row r="61" spans="1:16" ht="25.5" customHeight="1">
      <c r="A61" s="108" t="s">
        <v>116</v>
      </c>
      <c r="B61" s="108"/>
      <c r="C61" s="108"/>
      <c r="D61" s="108"/>
      <c r="E61" s="118" t="str">
        <f>"8 Epics  |  "&amp;SUMPRODUCT((E7:E59&lt;&gt;"")*1)&amp;" Subtareas activas"</f>
        <v>8 Epics  |  46 Subtareas activas</v>
      </c>
      <c r="F61" s="118"/>
      <c r="G61" s="118"/>
      <c r="H61" s="118"/>
      <c r="N61" s="44">
        <f>COUNTIF(F7:F59,"Completado")</f>
        <v>0</v>
      </c>
      <c r="O61" s="76">
        <f>IFERROR(COUNTIF(F7:F59,"Completado")/COUNTA(E7:E59),0)</f>
        <v>0</v>
      </c>
    </row>
  </sheetData>
  <mergeCells count="5">
    <mergeCell ref="A2:P2"/>
    <mergeCell ref="A3:P3"/>
    <mergeCell ref="A4:P4"/>
    <mergeCell ref="A61:D61"/>
    <mergeCell ref="E61:H61"/>
  </mergeCells>
  <dataValidations count="1">
    <dataValidation type="list" allowBlank="1" sqref="I7 F9:F12 I14 F16:F19 I21 F23:F26 I28 F30:F33 I35 F37:F40 I42 F44:F46 I48 F50:F52 I54 F56:F59" xr:uid="{00000000-0002-0000-0400-000000000000}">
      <formula1>"Pendiente,En Progreso,En Revisión,Completado,Bloqueado"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200E5"/>
  </sheetPr>
  <dimension ref="A1:P47"/>
  <sheetViews>
    <sheetView showGridLines="0" zoomScaleNormal="100" workbookViewId="0">
      <pane xSplit="4" ySplit="6" topLeftCell="E54" activePane="bottomRight" state="frozen"/>
      <selection pane="bottomRight" activeCell="A4" sqref="A4:P4"/>
      <selection pane="bottomLeft" activeCell="A7" sqref="A7"/>
      <selection pane="topRight" activeCell="E1" sqref="E1"/>
    </sheetView>
  </sheetViews>
  <sheetFormatPr defaultColWidth="8.5703125" defaultRowHeight="14.45"/>
  <cols>
    <col min="1" max="1" width="2" customWidth="1"/>
    <col min="2" max="2" width="4" customWidth="1"/>
    <col min="3" max="3" width="3" hidden="1" customWidth="1"/>
    <col min="4" max="4" width="12" customWidth="1"/>
    <col min="5" max="5" width="28" customWidth="1"/>
    <col min="6" max="6" width="36" customWidth="1"/>
    <col min="7" max="7" width="20" customWidth="1"/>
    <col min="8" max="8" width="12" customWidth="1"/>
    <col min="9" max="9" width="16" customWidth="1"/>
    <col min="10" max="10" width="18" customWidth="1"/>
    <col min="11" max="12" width="13" customWidth="1"/>
    <col min="13" max="13" width="9" customWidth="1"/>
    <col min="14" max="14" width="10" customWidth="1"/>
    <col min="15" max="15" width="9" customWidth="1"/>
    <col min="16" max="16" width="34" customWidth="1"/>
  </cols>
  <sheetData>
    <row r="1" spans="1:16" ht="7.5" customHeight="1"/>
    <row r="2" spans="1:16" ht="43.5" customHeight="1">
      <c r="A2" s="105" t="s">
        <v>18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ht="19.5" customHeight="1">
      <c r="A3" s="113" t="s">
        <v>15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16" ht="48" customHeight="1">
      <c r="A4" s="114" t="s">
        <v>290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</row>
    <row r="5" spans="1:16" ht="7.5" customHeight="1"/>
    <row r="6" spans="1:16" ht="27.75" customHeight="1">
      <c r="A6" s="59"/>
      <c r="B6" s="59" t="s">
        <v>20</v>
      </c>
      <c r="C6" s="59" t="s">
        <v>21</v>
      </c>
      <c r="D6" s="59" t="s">
        <v>22</v>
      </c>
      <c r="E6" s="59" t="s">
        <v>23</v>
      </c>
      <c r="F6" s="59" t="s">
        <v>24</v>
      </c>
      <c r="G6" s="59" t="s">
        <v>25</v>
      </c>
      <c r="H6" s="59" t="s">
        <v>26</v>
      </c>
      <c r="I6" s="59" t="s">
        <v>27</v>
      </c>
      <c r="J6" s="59" t="s">
        <v>28</v>
      </c>
      <c r="K6" s="59" t="s">
        <v>29</v>
      </c>
      <c r="L6" s="59" t="s">
        <v>30</v>
      </c>
      <c r="M6" s="59" t="s">
        <v>3</v>
      </c>
      <c r="N6" s="59" t="s">
        <v>4</v>
      </c>
      <c r="O6" s="59" t="s">
        <v>10</v>
      </c>
      <c r="P6" s="59" t="s">
        <v>31</v>
      </c>
    </row>
    <row r="7" spans="1:16" ht="39.75" customHeight="1">
      <c r="A7" s="21"/>
      <c r="B7" s="60"/>
      <c r="C7" s="61" t="b">
        <f>FALSE()</f>
        <v>0</v>
      </c>
      <c r="D7" s="62" t="s">
        <v>291</v>
      </c>
      <c r="E7" s="63" t="s">
        <v>292</v>
      </c>
      <c r="F7" s="64" t="s">
        <v>293</v>
      </c>
      <c r="G7" s="38" t="s">
        <v>148</v>
      </c>
      <c r="H7" s="39" t="s">
        <v>36</v>
      </c>
      <c r="I7" s="40" t="str">
        <f>IF(C7,"Completado","Pendiente")</f>
        <v>Pendiente</v>
      </c>
      <c r="J7" s="41"/>
      <c r="K7" s="42"/>
      <c r="L7" s="42"/>
      <c r="M7" s="43">
        <f>COUNTA(E9:E62)</f>
        <v>33</v>
      </c>
      <c r="N7" s="44">
        <f>COUNTIF(F9:F62,"Completado")</f>
        <v>0</v>
      </c>
      <c r="O7" s="65">
        <f>IFERROR(COUNTIF(F9:F62,"Completado")/COUNTA(E9:E62),0)</f>
        <v>0</v>
      </c>
      <c r="P7" s="46"/>
    </row>
    <row r="8" spans="1:16" ht="18" customHeight="1">
      <c r="A8" s="66"/>
      <c r="B8" s="66" t="s">
        <v>20</v>
      </c>
      <c r="C8" s="66" t="s">
        <v>21</v>
      </c>
      <c r="D8" s="66" t="s">
        <v>38</v>
      </c>
      <c r="E8" s="66" t="s">
        <v>39</v>
      </c>
      <c r="F8" s="66" t="s">
        <v>27</v>
      </c>
      <c r="G8" s="66" t="s">
        <v>28</v>
      </c>
      <c r="H8" s="66" t="s">
        <v>30</v>
      </c>
      <c r="I8" s="66" t="s">
        <v>40</v>
      </c>
      <c r="J8" s="21"/>
      <c r="K8" s="21"/>
      <c r="L8" s="21"/>
      <c r="M8" s="21"/>
      <c r="N8" s="21"/>
      <c r="O8" s="21"/>
      <c r="P8" s="21"/>
    </row>
    <row r="9" spans="1:16" ht="25.5" customHeight="1">
      <c r="A9" s="48"/>
      <c r="B9" s="60"/>
      <c r="C9" s="61" t="b">
        <f>FALSE()</f>
        <v>0</v>
      </c>
      <c r="D9" s="67" t="s">
        <v>291</v>
      </c>
      <c r="E9" s="68" t="s">
        <v>294</v>
      </c>
      <c r="F9" s="40" t="str">
        <f>IF(C9,"Completado","Pendiente")</f>
        <v>Pendiente</v>
      </c>
      <c r="G9" s="41"/>
      <c r="H9" s="42"/>
      <c r="I9" s="46"/>
      <c r="J9" s="61"/>
      <c r="K9" s="61"/>
      <c r="L9" s="61"/>
      <c r="M9" s="61"/>
      <c r="N9" s="61"/>
      <c r="O9" s="61"/>
      <c r="P9" s="61"/>
    </row>
    <row r="10" spans="1:16" ht="25.5" customHeight="1">
      <c r="A10" s="48"/>
      <c r="B10" s="51"/>
      <c r="C10" s="52" t="b">
        <f>FALSE()</f>
        <v>0</v>
      </c>
      <c r="D10" s="53" t="s">
        <v>291</v>
      </c>
      <c r="E10" s="54" t="s">
        <v>295</v>
      </c>
      <c r="F10" s="40" t="str">
        <f>IF(C10,"Completado","Pendiente")</f>
        <v>Pendiente</v>
      </c>
      <c r="G10" s="41"/>
      <c r="H10" s="42"/>
      <c r="I10" s="46"/>
      <c r="J10" s="52"/>
      <c r="K10" s="52"/>
      <c r="L10" s="52"/>
      <c r="M10" s="52"/>
      <c r="N10" s="52"/>
      <c r="O10" s="52"/>
      <c r="P10" s="52"/>
    </row>
    <row r="11" spans="1:16" ht="25.5" customHeight="1">
      <c r="A11" s="48"/>
      <c r="B11" s="60"/>
      <c r="C11" s="61" t="b">
        <f>FALSE()</f>
        <v>0</v>
      </c>
      <c r="D11" s="67" t="s">
        <v>291</v>
      </c>
      <c r="E11" s="68" t="s">
        <v>296</v>
      </c>
      <c r="F11" s="40" t="str">
        <f>IF(C11,"Completado","Pendiente")</f>
        <v>Pendiente</v>
      </c>
      <c r="G11" s="41"/>
      <c r="H11" s="42"/>
      <c r="I11" s="46"/>
      <c r="J11" s="61"/>
      <c r="K11" s="61"/>
      <c r="L11" s="61"/>
      <c r="M11" s="61"/>
      <c r="N11" s="61"/>
      <c r="O11" s="61"/>
      <c r="P11" s="61"/>
    </row>
    <row r="12" spans="1:16" ht="25.5" customHeight="1">
      <c r="A12" s="48"/>
      <c r="B12" s="51"/>
      <c r="C12" s="52" t="b">
        <f>FALSE()</f>
        <v>0</v>
      </c>
      <c r="D12" s="53" t="s">
        <v>291</v>
      </c>
      <c r="E12" s="54" t="s">
        <v>297</v>
      </c>
      <c r="F12" s="40" t="str">
        <f>IF(C12,"Completado","Pendiente")</f>
        <v>Pendiente</v>
      </c>
      <c r="G12" s="41"/>
      <c r="H12" s="42"/>
      <c r="I12" s="46"/>
      <c r="J12" s="52"/>
      <c r="K12" s="52"/>
      <c r="L12" s="52"/>
      <c r="M12" s="52"/>
      <c r="N12" s="52"/>
      <c r="O12" s="52"/>
      <c r="P12" s="52"/>
    </row>
    <row r="13" spans="1:16" ht="4.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</row>
    <row r="14" spans="1:16" ht="39.75" customHeight="1">
      <c r="A14" s="21"/>
      <c r="B14" s="51"/>
      <c r="C14" s="52" t="b">
        <f>FALSE()</f>
        <v>0</v>
      </c>
      <c r="D14" s="69" t="s">
        <v>298</v>
      </c>
      <c r="E14" s="56" t="s">
        <v>299</v>
      </c>
      <c r="F14" s="57" t="s">
        <v>300</v>
      </c>
      <c r="G14" s="38" t="s">
        <v>165</v>
      </c>
      <c r="H14" s="39" t="s">
        <v>36</v>
      </c>
      <c r="I14" s="40" t="str">
        <f>IF(C14,"Completado","Pendiente")</f>
        <v>Pendiente</v>
      </c>
      <c r="J14" s="41"/>
      <c r="K14" s="42"/>
      <c r="L14" s="42"/>
      <c r="M14" s="43">
        <f>COUNTA(E16:E69)</f>
        <v>27</v>
      </c>
      <c r="N14" s="44">
        <f>COUNTIF(F16:F69,"Completado")</f>
        <v>0</v>
      </c>
      <c r="O14" s="65">
        <f>IFERROR(COUNTIF(F16:F69,"Completado")/COUNTA(E16:E69),0)</f>
        <v>0</v>
      </c>
      <c r="P14" s="46"/>
    </row>
    <row r="15" spans="1:16" ht="18" customHeight="1">
      <c r="A15" s="66"/>
      <c r="B15" s="66" t="s">
        <v>20</v>
      </c>
      <c r="C15" s="66" t="s">
        <v>21</v>
      </c>
      <c r="D15" s="66" t="s">
        <v>38</v>
      </c>
      <c r="E15" s="66" t="s">
        <v>39</v>
      </c>
      <c r="F15" s="66" t="s">
        <v>27</v>
      </c>
      <c r="G15" s="66" t="s">
        <v>28</v>
      </c>
      <c r="H15" s="66" t="s">
        <v>30</v>
      </c>
      <c r="I15" s="66" t="s">
        <v>40</v>
      </c>
      <c r="J15" s="21"/>
      <c r="K15" s="21"/>
      <c r="L15" s="21"/>
      <c r="M15" s="21"/>
      <c r="N15" s="21"/>
      <c r="O15" s="21"/>
      <c r="P15" s="21"/>
    </row>
    <row r="16" spans="1:16" ht="25.5" customHeight="1">
      <c r="A16" s="48"/>
      <c r="B16" s="60"/>
      <c r="C16" s="61" t="b">
        <f>FALSE()</f>
        <v>0</v>
      </c>
      <c r="D16" s="67" t="s">
        <v>298</v>
      </c>
      <c r="E16" s="68" t="s">
        <v>301</v>
      </c>
      <c r="F16" s="40" t="str">
        <f>IF(C16,"Completado","Pendiente")</f>
        <v>Pendiente</v>
      </c>
      <c r="G16" s="41"/>
      <c r="H16" s="42"/>
      <c r="I16" s="46"/>
      <c r="J16" s="61"/>
      <c r="K16" s="61"/>
      <c r="L16" s="61"/>
      <c r="M16" s="61"/>
      <c r="N16" s="61"/>
      <c r="O16" s="61"/>
      <c r="P16" s="61"/>
    </row>
    <row r="17" spans="1:16" ht="25.5" customHeight="1">
      <c r="A17" s="48"/>
      <c r="B17" s="51"/>
      <c r="C17" s="52" t="b">
        <f>FALSE()</f>
        <v>0</v>
      </c>
      <c r="D17" s="53" t="s">
        <v>298</v>
      </c>
      <c r="E17" s="54" t="s">
        <v>302</v>
      </c>
      <c r="F17" s="40" t="str">
        <f>IF(C17,"Completado","Pendiente")</f>
        <v>Pendiente</v>
      </c>
      <c r="G17" s="41"/>
      <c r="H17" s="42"/>
      <c r="I17" s="46"/>
      <c r="J17" s="52"/>
      <c r="K17" s="52"/>
      <c r="L17" s="52"/>
      <c r="M17" s="52"/>
      <c r="N17" s="52"/>
      <c r="O17" s="52"/>
      <c r="P17" s="52"/>
    </row>
    <row r="18" spans="1:16" ht="25.5" customHeight="1">
      <c r="A18" s="48"/>
      <c r="B18" s="60"/>
      <c r="C18" s="61" t="b">
        <f>FALSE()</f>
        <v>0</v>
      </c>
      <c r="D18" s="67" t="s">
        <v>298</v>
      </c>
      <c r="E18" s="68" t="s">
        <v>303</v>
      </c>
      <c r="F18" s="40" t="str">
        <f>IF(C18,"Completado","Pendiente")</f>
        <v>Pendiente</v>
      </c>
      <c r="G18" s="41"/>
      <c r="H18" s="42"/>
      <c r="I18" s="46"/>
      <c r="J18" s="61"/>
      <c r="K18" s="61"/>
      <c r="L18" s="61"/>
      <c r="M18" s="61"/>
      <c r="N18" s="61"/>
      <c r="O18" s="61"/>
      <c r="P18" s="61"/>
    </row>
    <row r="19" spans="1:16" ht="25.5" customHeight="1">
      <c r="A19" s="48"/>
      <c r="B19" s="51"/>
      <c r="C19" s="52" t="b">
        <f>FALSE()</f>
        <v>0</v>
      </c>
      <c r="D19" s="53" t="s">
        <v>298</v>
      </c>
      <c r="E19" s="54" t="s">
        <v>304</v>
      </c>
      <c r="F19" s="40" t="str">
        <f>IF(C19,"Completado","Pendiente")</f>
        <v>Pendiente</v>
      </c>
      <c r="G19" s="41"/>
      <c r="H19" s="42"/>
      <c r="I19" s="46"/>
      <c r="J19" s="52"/>
      <c r="K19" s="52"/>
      <c r="L19" s="52"/>
      <c r="M19" s="52"/>
      <c r="N19" s="52"/>
      <c r="O19" s="52"/>
      <c r="P19" s="52"/>
    </row>
    <row r="20" spans="1:16" ht="4.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spans="1:16" ht="39.75" customHeight="1">
      <c r="A21" s="21"/>
      <c r="B21" s="60"/>
      <c r="C21" s="61" t="b">
        <f>FALSE()</f>
        <v>0</v>
      </c>
      <c r="D21" s="62" t="s">
        <v>305</v>
      </c>
      <c r="E21" s="63" t="s">
        <v>306</v>
      </c>
      <c r="F21" s="64" t="s">
        <v>307</v>
      </c>
      <c r="G21" s="38" t="s">
        <v>190</v>
      </c>
      <c r="H21" s="39" t="s">
        <v>36</v>
      </c>
      <c r="I21" s="40" t="str">
        <f>IF(C21,"Completado","Pendiente")</f>
        <v>Pendiente</v>
      </c>
      <c r="J21" s="41"/>
      <c r="K21" s="42"/>
      <c r="L21" s="42"/>
      <c r="M21" s="43">
        <f>COUNTA(E23:E76)</f>
        <v>21</v>
      </c>
      <c r="N21" s="44">
        <f>COUNTIF(F23:F76,"Completado")</f>
        <v>0</v>
      </c>
      <c r="O21" s="65">
        <f>IFERROR(COUNTIF(F23:F76,"Completado")/COUNTA(E23:E76),0)</f>
        <v>0</v>
      </c>
      <c r="P21" s="46"/>
    </row>
    <row r="22" spans="1:16" ht="18" customHeight="1">
      <c r="A22" s="66"/>
      <c r="B22" s="66" t="s">
        <v>20</v>
      </c>
      <c r="C22" s="66" t="s">
        <v>21</v>
      </c>
      <c r="D22" s="66" t="s">
        <v>38</v>
      </c>
      <c r="E22" s="66" t="s">
        <v>39</v>
      </c>
      <c r="F22" s="66" t="s">
        <v>27</v>
      </c>
      <c r="G22" s="66" t="s">
        <v>28</v>
      </c>
      <c r="H22" s="66" t="s">
        <v>30</v>
      </c>
      <c r="I22" s="66" t="s">
        <v>40</v>
      </c>
      <c r="J22" s="21"/>
      <c r="K22" s="21"/>
      <c r="L22" s="21"/>
      <c r="M22" s="21"/>
      <c r="N22" s="21"/>
      <c r="O22" s="21"/>
      <c r="P22" s="21"/>
    </row>
    <row r="23" spans="1:16" ht="25.5" customHeight="1">
      <c r="A23" s="48"/>
      <c r="B23" s="60"/>
      <c r="C23" s="61" t="b">
        <f>FALSE()</f>
        <v>0</v>
      </c>
      <c r="D23" s="67" t="s">
        <v>305</v>
      </c>
      <c r="E23" s="68" t="s">
        <v>308</v>
      </c>
      <c r="F23" s="40" t="str">
        <f>IF(C23,"Completado","Pendiente")</f>
        <v>Pendiente</v>
      </c>
      <c r="G23" s="41"/>
      <c r="H23" s="42"/>
      <c r="I23" s="46"/>
      <c r="J23" s="61"/>
      <c r="K23" s="61"/>
      <c r="L23" s="61"/>
      <c r="M23" s="61"/>
      <c r="N23" s="61"/>
      <c r="O23" s="61"/>
      <c r="P23" s="61"/>
    </row>
    <row r="24" spans="1:16" ht="25.5" customHeight="1">
      <c r="A24" s="48"/>
      <c r="B24" s="51"/>
      <c r="C24" s="52" t="b">
        <f>FALSE()</f>
        <v>0</v>
      </c>
      <c r="D24" s="53" t="s">
        <v>305</v>
      </c>
      <c r="E24" s="54" t="s">
        <v>309</v>
      </c>
      <c r="F24" s="40" t="str">
        <f>IF(C24,"Completado","Pendiente")</f>
        <v>Pendiente</v>
      </c>
      <c r="G24" s="41"/>
      <c r="H24" s="42"/>
      <c r="I24" s="46"/>
      <c r="J24" s="52"/>
      <c r="K24" s="52"/>
      <c r="L24" s="52"/>
      <c r="M24" s="52"/>
      <c r="N24" s="52"/>
      <c r="O24" s="52"/>
      <c r="P24" s="52"/>
    </row>
    <row r="25" spans="1:16" ht="25.5" customHeight="1">
      <c r="A25" s="48"/>
      <c r="B25" s="60"/>
      <c r="C25" s="61" t="b">
        <f>FALSE()</f>
        <v>0</v>
      </c>
      <c r="D25" s="67" t="s">
        <v>305</v>
      </c>
      <c r="E25" s="68" t="s">
        <v>310</v>
      </c>
      <c r="F25" s="40" t="str">
        <f>IF(C25,"Completado","Pendiente")</f>
        <v>Pendiente</v>
      </c>
      <c r="G25" s="41"/>
      <c r="H25" s="42"/>
      <c r="I25" s="46"/>
      <c r="J25" s="61"/>
      <c r="K25" s="61"/>
      <c r="L25" s="61"/>
      <c r="M25" s="61"/>
      <c r="N25" s="61"/>
      <c r="O25" s="61"/>
      <c r="P25" s="61"/>
    </row>
    <row r="26" spans="1:16" ht="25.5" customHeight="1">
      <c r="A26" s="48"/>
      <c r="B26" s="51"/>
      <c r="C26" s="52" t="b">
        <f>FALSE()</f>
        <v>0</v>
      </c>
      <c r="D26" s="53" t="s">
        <v>305</v>
      </c>
      <c r="E26" s="54" t="s">
        <v>311</v>
      </c>
      <c r="F26" s="40" t="str">
        <f>IF(C26,"Completado","Pendiente")</f>
        <v>Pendiente</v>
      </c>
      <c r="G26" s="41"/>
      <c r="H26" s="42"/>
      <c r="I26" s="46"/>
      <c r="J26" s="52"/>
      <c r="K26" s="52"/>
      <c r="L26" s="52"/>
      <c r="M26" s="52"/>
      <c r="N26" s="52"/>
      <c r="O26" s="52"/>
      <c r="P26" s="52"/>
    </row>
    <row r="27" spans="1:16" ht="4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</row>
    <row r="28" spans="1:16" ht="39.75" customHeight="1">
      <c r="A28" s="21"/>
      <c r="B28" s="51"/>
      <c r="C28" s="52" t="b">
        <f>FALSE()</f>
        <v>0</v>
      </c>
      <c r="D28" s="69" t="s">
        <v>312</v>
      </c>
      <c r="E28" s="56" t="s">
        <v>313</v>
      </c>
      <c r="F28" s="57" t="s">
        <v>314</v>
      </c>
      <c r="G28" s="38" t="s">
        <v>190</v>
      </c>
      <c r="H28" s="39" t="s">
        <v>36</v>
      </c>
      <c r="I28" s="40" t="str">
        <f>IF(C28,"Completado","Pendiente")</f>
        <v>Pendiente</v>
      </c>
      <c r="J28" s="41"/>
      <c r="K28" s="42"/>
      <c r="L28" s="42"/>
      <c r="M28" s="43">
        <f>COUNTA(E30:E82)</f>
        <v>15</v>
      </c>
      <c r="N28" s="44">
        <f>COUNTIF(F30:F82,"Completado")</f>
        <v>0</v>
      </c>
      <c r="O28" s="65">
        <f>IFERROR(COUNTIF(F30:F82,"Completado")/COUNTA(E30:E82),0)</f>
        <v>0</v>
      </c>
      <c r="P28" s="46"/>
    </row>
    <row r="29" spans="1:16" ht="18" customHeight="1">
      <c r="A29" s="66"/>
      <c r="B29" s="66" t="s">
        <v>20</v>
      </c>
      <c r="C29" s="66" t="s">
        <v>21</v>
      </c>
      <c r="D29" s="66" t="s">
        <v>38</v>
      </c>
      <c r="E29" s="66" t="s">
        <v>39</v>
      </c>
      <c r="F29" s="66" t="s">
        <v>27</v>
      </c>
      <c r="G29" s="66" t="s">
        <v>28</v>
      </c>
      <c r="H29" s="66" t="s">
        <v>30</v>
      </c>
      <c r="I29" s="66" t="s">
        <v>40</v>
      </c>
      <c r="J29" s="21"/>
      <c r="K29" s="21"/>
      <c r="L29" s="21"/>
      <c r="M29" s="21"/>
      <c r="N29" s="21"/>
      <c r="O29" s="21"/>
      <c r="P29" s="21"/>
    </row>
    <row r="30" spans="1:16" ht="25.5" customHeight="1">
      <c r="A30" s="48"/>
      <c r="B30" s="60"/>
      <c r="C30" s="61" t="b">
        <f>FALSE()</f>
        <v>0</v>
      </c>
      <c r="D30" s="67" t="s">
        <v>312</v>
      </c>
      <c r="E30" s="68" t="s">
        <v>315</v>
      </c>
      <c r="F30" s="40" t="str">
        <f>IF(C30,"Completado","Pendiente")</f>
        <v>Pendiente</v>
      </c>
      <c r="G30" s="41"/>
      <c r="H30" s="42"/>
      <c r="I30" s="46"/>
      <c r="J30" s="61"/>
      <c r="K30" s="61"/>
      <c r="L30" s="61"/>
      <c r="M30" s="61"/>
      <c r="N30" s="61"/>
      <c r="O30" s="61"/>
      <c r="P30" s="61"/>
    </row>
    <row r="31" spans="1:16" ht="25.5" customHeight="1">
      <c r="A31" s="48"/>
      <c r="B31" s="51"/>
      <c r="C31" s="52" t="b">
        <f>FALSE()</f>
        <v>0</v>
      </c>
      <c r="D31" s="53" t="s">
        <v>312</v>
      </c>
      <c r="E31" s="54" t="s">
        <v>316</v>
      </c>
      <c r="F31" s="40" t="str">
        <f>IF(C31,"Completado","Pendiente")</f>
        <v>Pendiente</v>
      </c>
      <c r="G31" s="41"/>
      <c r="H31" s="42"/>
      <c r="I31" s="46"/>
      <c r="J31" s="52"/>
      <c r="K31" s="52"/>
      <c r="L31" s="52"/>
      <c r="M31" s="52"/>
      <c r="N31" s="52"/>
      <c r="O31" s="52"/>
      <c r="P31" s="52"/>
    </row>
    <row r="32" spans="1:16" ht="25.5" customHeight="1">
      <c r="A32" s="48"/>
      <c r="B32" s="60"/>
      <c r="C32" s="61" t="b">
        <f>FALSE()</f>
        <v>0</v>
      </c>
      <c r="D32" s="67" t="s">
        <v>312</v>
      </c>
      <c r="E32" s="68" t="s">
        <v>317</v>
      </c>
      <c r="F32" s="40" t="str">
        <f>IF(C32,"Completado","Pendiente")</f>
        <v>Pendiente</v>
      </c>
      <c r="G32" s="41"/>
      <c r="H32" s="42"/>
      <c r="I32" s="46"/>
      <c r="J32" s="61"/>
      <c r="K32" s="61"/>
      <c r="L32" s="61"/>
      <c r="M32" s="61"/>
      <c r="N32" s="61"/>
      <c r="O32" s="61"/>
      <c r="P32" s="61"/>
    </row>
    <row r="33" spans="1:16" ht="4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</row>
    <row r="34" spans="1:16" ht="39.75" customHeight="1">
      <c r="A34" s="21"/>
      <c r="B34" s="60"/>
      <c r="C34" s="61" t="b">
        <f>FALSE()</f>
        <v>0</v>
      </c>
      <c r="D34" s="62" t="s">
        <v>318</v>
      </c>
      <c r="E34" s="63" t="s">
        <v>319</v>
      </c>
      <c r="F34" s="64" t="s">
        <v>320</v>
      </c>
      <c r="G34" s="38" t="s">
        <v>245</v>
      </c>
      <c r="H34" s="39" t="s">
        <v>36</v>
      </c>
      <c r="I34" s="40" t="str">
        <f>IF(C34,"Completado","Pendiente")</f>
        <v>Pendiente</v>
      </c>
      <c r="J34" s="41"/>
      <c r="K34" s="42"/>
      <c r="L34" s="42"/>
      <c r="M34" s="43">
        <f>COUNTA(E36:E89)</f>
        <v>10</v>
      </c>
      <c r="N34" s="44">
        <f>COUNTIF(F36:F89,"Completado")</f>
        <v>0</v>
      </c>
      <c r="O34" s="65">
        <f>IFERROR(COUNTIF(F36:F89,"Completado")/COUNTA(E36:E89),0)</f>
        <v>0</v>
      </c>
      <c r="P34" s="46"/>
    </row>
    <row r="35" spans="1:16" ht="18" customHeight="1">
      <c r="A35" s="66"/>
      <c r="B35" s="66" t="s">
        <v>20</v>
      </c>
      <c r="C35" s="66" t="s">
        <v>21</v>
      </c>
      <c r="D35" s="66" t="s">
        <v>38</v>
      </c>
      <c r="E35" s="66" t="s">
        <v>39</v>
      </c>
      <c r="F35" s="66" t="s">
        <v>27</v>
      </c>
      <c r="G35" s="66" t="s">
        <v>28</v>
      </c>
      <c r="H35" s="66" t="s">
        <v>30</v>
      </c>
      <c r="I35" s="66" t="s">
        <v>40</v>
      </c>
      <c r="J35" s="21"/>
      <c r="K35" s="21"/>
      <c r="L35" s="21"/>
      <c r="M35" s="21"/>
      <c r="N35" s="21"/>
      <c r="O35" s="21"/>
      <c r="P35" s="21"/>
    </row>
    <row r="36" spans="1:16" ht="25.5" customHeight="1">
      <c r="A36" s="48"/>
      <c r="B36" s="60"/>
      <c r="C36" s="61" t="b">
        <f>FALSE()</f>
        <v>0</v>
      </c>
      <c r="D36" s="67" t="s">
        <v>318</v>
      </c>
      <c r="E36" s="68" t="s">
        <v>321</v>
      </c>
      <c r="F36" s="40" t="str">
        <f>IF(C36,"Completado","Pendiente")</f>
        <v>Pendiente</v>
      </c>
      <c r="G36" s="41"/>
      <c r="H36" s="42"/>
      <c r="I36" s="46"/>
      <c r="J36" s="61"/>
      <c r="K36" s="61"/>
      <c r="L36" s="61"/>
      <c r="M36" s="61"/>
      <c r="N36" s="61"/>
      <c r="O36" s="61"/>
      <c r="P36" s="61"/>
    </row>
    <row r="37" spans="1:16" ht="25.5" customHeight="1">
      <c r="A37" s="48"/>
      <c r="B37" s="51"/>
      <c r="C37" s="52" t="b">
        <f>FALSE()</f>
        <v>0</v>
      </c>
      <c r="D37" s="53" t="s">
        <v>318</v>
      </c>
      <c r="E37" s="54" t="s">
        <v>322</v>
      </c>
      <c r="F37" s="40" t="str">
        <f>IF(C37,"Completado","Pendiente")</f>
        <v>Pendiente</v>
      </c>
      <c r="G37" s="41"/>
      <c r="H37" s="42"/>
      <c r="I37" s="46"/>
      <c r="J37" s="52"/>
      <c r="K37" s="52"/>
      <c r="L37" s="52"/>
      <c r="M37" s="52"/>
      <c r="N37" s="52"/>
      <c r="O37" s="52"/>
      <c r="P37" s="52"/>
    </row>
    <row r="38" spans="1:16" ht="25.5" customHeight="1">
      <c r="A38" s="48"/>
      <c r="B38" s="60"/>
      <c r="C38" s="61" t="b">
        <f>FALSE()</f>
        <v>0</v>
      </c>
      <c r="D38" s="67" t="s">
        <v>318</v>
      </c>
      <c r="E38" s="68" t="s">
        <v>323</v>
      </c>
      <c r="F38" s="40" t="str">
        <f>IF(C38,"Completado","Pendiente")</f>
        <v>Pendiente</v>
      </c>
      <c r="G38" s="41"/>
      <c r="H38" s="42"/>
      <c r="I38" s="46"/>
      <c r="J38" s="61"/>
      <c r="K38" s="61"/>
      <c r="L38" s="61"/>
      <c r="M38" s="61"/>
      <c r="N38" s="61"/>
      <c r="O38" s="61"/>
      <c r="P38" s="61"/>
    </row>
    <row r="39" spans="1:16" ht="25.5" customHeight="1">
      <c r="A39" s="48"/>
      <c r="B39" s="51"/>
      <c r="C39" s="52" t="b">
        <f>FALSE()</f>
        <v>0</v>
      </c>
      <c r="D39" s="53" t="s">
        <v>318</v>
      </c>
      <c r="E39" s="54" t="s">
        <v>324</v>
      </c>
      <c r="F39" s="40" t="str">
        <f>IF(C39,"Completado","Pendiente")</f>
        <v>Pendiente</v>
      </c>
      <c r="G39" s="41"/>
      <c r="H39" s="42"/>
      <c r="I39" s="46"/>
      <c r="J39" s="52"/>
      <c r="K39" s="52"/>
      <c r="L39" s="52"/>
      <c r="M39" s="52"/>
      <c r="N39" s="52"/>
      <c r="O39" s="52"/>
      <c r="P39" s="52"/>
    </row>
    <row r="40" spans="1:16" ht="4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</row>
    <row r="41" spans="1:16" ht="39.75" customHeight="1">
      <c r="A41" s="21"/>
      <c r="B41" s="51"/>
      <c r="C41" s="52" t="b">
        <f>FALSE()</f>
        <v>0</v>
      </c>
      <c r="D41" s="69" t="s">
        <v>325</v>
      </c>
      <c r="E41" s="56" t="s">
        <v>326</v>
      </c>
      <c r="F41" s="57" t="s">
        <v>327</v>
      </c>
      <c r="G41" s="38" t="s">
        <v>165</v>
      </c>
      <c r="H41" s="58" t="s">
        <v>101</v>
      </c>
      <c r="I41" s="40" t="str">
        <f>IF(C41,"Completado","Pendiente")</f>
        <v>Pendiente</v>
      </c>
      <c r="J41" s="41"/>
      <c r="K41" s="42"/>
      <c r="L41" s="42"/>
      <c r="M41" s="43">
        <f>COUNTA(E43:E95)</f>
        <v>4</v>
      </c>
      <c r="N41" s="44">
        <f>COUNTIF(F43:F95,"Completado")</f>
        <v>0</v>
      </c>
      <c r="O41" s="65">
        <f>IFERROR(COUNTIF(F43:F95,"Completado")/COUNTA(E43:E95),0)</f>
        <v>0</v>
      </c>
      <c r="P41" s="46"/>
    </row>
    <row r="42" spans="1:16" ht="18" customHeight="1">
      <c r="A42" s="66"/>
      <c r="B42" s="66" t="s">
        <v>20</v>
      </c>
      <c r="C42" s="66" t="s">
        <v>21</v>
      </c>
      <c r="D42" s="66" t="s">
        <v>38</v>
      </c>
      <c r="E42" s="66" t="s">
        <v>39</v>
      </c>
      <c r="F42" s="66" t="s">
        <v>27</v>
      </c>
      <c r="G42" s="66" t="s">
        <v>28</v>
      </c>
      <c r="H42" s="66" t="s">
        <v>30</v>
      </c>
      <c r="I42" s="66" t="s">
        <v>40</v>
      </c>
      <c r="J42" s="21"/>
      <c r="K42" s="21"/>
      <c r="L42" s="21"/>
      <c r="M42" s="21"/>
      <c r="N42" s="21"/>
      <c r="O42" s="21"/>
      <c r="P42" s="21"/>
    </row>
    <row r="43" spans="1:16" ht="25.5" customHeight="1">
      <c r="A43" s="48"/>
      <c r="B43" s="60"/>
      <c r="C43" s="61" t="b">
        <f>FALSE()</f>
        <v>0</v>
      </c>
      <c r="D43" s="67" t="s">
        <v>325</v>
      </c>
      <c r="E43" s="68" t="s">
        <v>328</v>
      </c>
      <c r="F43" s="40" t="str">
        <f>IF(C43,"Completado","Pendiente")</f>
        <v>Pendiente</v>
      </c>
      <c r="G43" s="41"/>
      <c r="H43" s="42"/>
      <c r="I43" s="46"/>
      <c r="J43" s="61"/>
      <c r="K43" s="61"/>
      <c r="L43" s="61"/>
      <c r="M43" s="61"/>
      <c r="N43" s="61"/>
      <c r="O43" s="61"/>
      <c r="P43" s="61"/>
    </row>
    <row r="44" spans="1:16" ht="25.5" customHeight="1">
      <c r="A44" s="48"/>
      <c r="B44" s="51"/>
      <c r="C44" s="52" t="b">
        <f>FALSE()</f>
        <v>0</v>
      </c>
      <c r="D44" s="53" t="s">
        <v>325</v>
      </c>
      <c r="E44" s="54" t="s">
        <v>329</v>
      </c>
      <c r="F44" s="40" t="str">
        <f>IF(C44,"Completado","Pendiente")</f>
        <v>Pendiente</v>
      </c>
      <c r="G44" s="41"/>
      <c r="H44" s="42"/>
      <c r="I44" s="46"/>
      <c r="J44" s="52"/>
      <c r="K44" s="52"/>
      <c r="L44" s="52"/>
      <c r="M44" s="52"/>
      <c r="N44" s="52"/>
      <c r="O44" s="52"/>
      <c r="P44" s="52"/>
    </row>
    <row r="45" spans="1:16" ht="25.5" customHeight="1">
      <c r="A45" s="48"/>
      <c r="B45" s="60"/>
      <c r="C45" s="61" t="b">
        <f>FALSE()</f>
        <v>0</v>
      </c>
      <c r="D45" s="67" t="s">
        <v>325</v>
      </c>
      <c r="E45" s="68" t="s">
        <v>330</v>
      </c>
      <c r="F45" s="40" t="str">
        <f>IF(C45,"Completado","Pendiente")</f>
        <v>Pendiente</v>
      </c>
      <c r="G45" s="41"/>
      <c r="H45" s="42"/>
      <c r="I45" s="46"/>
      <c r="J45" s="61"/>
      <c r="K45" s="61"/>
      <c r="L45" s="61"/>
      <c r="M45" s="61"/>
      <c r="N45" s="61"/>
      <c r="O45" s="61"/>
      <c r="P45" s="61"/>
    </row>
    <row r="46" spans="1:16" ht="4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</row>
    <row r="47" spans="1:16" ht="25.5" customHeight="1">
      <c r="A47" s="108" t="s">
        <v>116</v>
      </c>
      <c r="B47" s="108"/>
      <c r="C47" s="108"/>
      <c r="D47" s="108"/>
      <c r="E47" s="115" t="str">
        <f>"6 Epics  |  "&amp;SUMPRODUCT((E7:E45&lt;&gt;"")*1)&amp;" Subtareas activas"</f>
        <v>6 Epics  |  34 Subtareas activas</v>
      </c>
      <c r="F47" s="115"/>
      <c r="G47" s="115"/>
      <c r="H47" s="115"/>
      <c r="N47" s="44">
        <f>COUNTIF(F7:F45,"Completado")</f>
        <v>0</v>
      </c>
      <c r="O47" s="65">
        <f>IFERROR(COUNTIF(F7:F45,"Completado")/COUNTA(E7:E45),0)</f>
        <v>0</v>
      </c>
    </row>
  </sheetData>
  <mergeCells count="5">
    <mergeCell ref="A2:P2"/>
    <mergeCell ref="A3:P3"/>
    <mergeCell ref="A4:P4"/>
    <mergeCell ref="A47:D47"/>
    <mergeCell ref="E47:H47"/>
  </mergeCells>
  <dataValidations count="1">
    <dataValidation type="list" allowBlank="1" sqref="I7 F9:F12 I14 F16:F19 I21 F23:F26 I28 F30:F32 I34 F36:F39 I41 F43:F45" xr:uid="{00000000-0002-0000-0500-000000000000}">
      <formula1>"Pendiente,En Progreso,En Revisión,Completado,Bloqueado"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97560"/>
  </sheetPr>
  <dimension ref="A1:P55"/>
  <sheetViews>
    <sheetView showGridLines="0" zoomScaleNormal="100" workbookViewId="0">
      <pane xSplit="4" ySplit="6" topLeftCell="E7" activePane="bottomRight" state="frozen"/>
      <selection pane="bottomRight"/>
      <selection pane="bottomLeft" activeCell="A7" sqref="A7"/>
      <selection pane="topRight" activeCell="E1" sqref="E1"/>
    </sheetView>
  </sheetViews>
  <sheetFormatPr defaultColWidth="8.5703125" defaultRowHeight="14.45"/>
  <cols>
    <col min="1" max="1" width="2" customWidth="1"/>
    <col min="2" max="2" width="4" customWidth="1"/>
    <col min="3" max="3" width="3" hidden="1" customWidth="1"/>
    <col min="4" max="4" width="12" customWidth="1"/>
    <col min="5" max="5" width="28" customWidth="1"/>
    <col min="6" max="6" width="36" customWidth="1"/>
    <col min="7" max="7" width="20" customWidth="1"/>
    <col min="8" max="8" width="12" customWidth="1"/>
    <col min="9" max="9" width="16" customWidth="1"/>
    <col min="10" max="10" width="18" customWidth="1"/>
    <col min="11" max="12" width="13" customWidth="1"/>
    <col min="13" max="13" width="9" customWidth="1"/>
    <col min="14" max="14" width="10" customWidth="1"/>
    <col min="15" max="15" width="9" customWidth="1"/>
    <col min="16" max="16" width="34" customWidth="1"/>
  </cols>
  <sheetData>
    <row r="1" spans="1:16" ht="7.5" customHeight="1"/>
    <row r="2" spans="1:16" ht="43.5" customHeight="1">
      <c r="A2" s="105" t="s">
        <v>18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ht="19.5" customHeight="1">
      <c r="A3" s="106" t="s">
        <v>16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</row>
    <row r="4" spans="1:16" ht="48" customHeight="1">
      <c r="A4" s="107" t="s">
        <v>331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1:16" ht="7.5" customHeight="1"/>
    <row r="6" spans="1:16" ht="27.75" customHeight="1">
      <c r="A6" s="32"/>
      <c r="B6" s="32" t="s">
        <v>20</v>
      </c>
      <c r="C6" s="32" t="s">
        <v>21</v>
      </c>
      <c r="D6" s="32" t="s">
        <v>22</v>
      </c>
      <c r="E6" s="32" t="s">
        <v>23</v>
      </c>
      <c r="F6" s="32" t="s">
        <v>24</v>
      </c>
      <c r="G6" s="32" t="s">
        <v>25</v>
      </c>
      <c r="H6" s="32" t="s">
        <v>26</v>
      </c>
      <c r="I6" s="32" t="s">
        <v>27</v>
      </c>
      <c r="J6" s="32" t="s">
        <v>28</v>
      </c>
      <c r="K6" s="32" t="s">
        <v>29</v>
      </c>
      <c r="L6" s="32" t="s">
        <v>30</v>
      </c>
      <c r="M6" s="32" t="s">
        <v>3</v>
      </c>
      <c r="N6" s="32" t="s">
        <v>4</v>
      </c>
      <c r="O6" s="32" t="s">
        <v>10</v>
      </c>
      <c r="P6" s="32" t="s">
        <v>31</v>
      </c>
    </row>
    <row r="7" spans="1:16" ht="39.75" customHeight="1">
      <c r="A7" s="14"/>
      <c r="B7" s="33"/>
      <c r="C7" s="34" t="b">
        <f>FALSE()</f>
        <v>0</v>
      </c>
      <c r="D7" s="35" t="s">
        <v>332</v>
      </c>
      <c r="E7" s="36" t="s">
        <v>333</v>
      </c>
      <c r="F7" s="37" t="s">
        <v>334</v>
      </c>
      <c r="G7" s="38" t="s">
        <v>190</v>
      </c>
      <c r="H7" s="39" t="s">
        <v>36</v>
      </c>
      <c r="I7" s="40" t="str">
        <f>IF(C7,"Completado","Pendiente")</f>
        <v>Pendiente</v>
      </c>
      <c r="J7" s="41"/>
      <c r="K7" s="42"/>
      <c r="L7" s="42"/>
      <c r="M7" s="43">
        <f>COUNTA(E9:E62)</f>
        <v>40</v>
      </c>
      <c r="N7" s="44">
        <f>COUNTIF(F9:F62,"Completado")</f>
        <v>0</v>
      </c>
      <c r="O7" s="45">
        <f>IFERROR(COUNTIF(F9:F62,"Completado")/COUNTA(E9:E62),0)</f>
        <v>0</v>
      </c>
      <c r="P7" s="46"/>
    </row>
    <row r="8" spans="1:16" ht="18" customHeight="1">
      <c r="A8" s="47"/>
      <c r="B8" s="47" t="s">
        <v>20</v>
      </c>
      <c r="C8" s="47" t="s">
        <v>21</v>
      </c>
      <c r="D8" s="47" t="s">
        <v>38</v>
      </c>
      <c r="E8" s="47" t="s">
        <v>39</v>
      </c>
      <c r="F8" s="47" t="s">
        <v>27</v>
      </c>
      <c r="G8" s="47" t="s">
        <v>28</v>
      </c>
      <c r="H8" s="47" t="s">
        <v>30</v>
      </c>
      <c r="I8" s="47" t="s">
        <v>40</v>
      </c>
      <c r="J8" s="14"/>
      <c r="K8" s="14"/>
      <c r="L8" s="14"/>
      <c r="M8" s="14"/>
      <c r="N8" s="14"/>
      <c r="O8" s="14"/>
      <c r="P8" s="14"/>
    </row>
    <row r="9" spans="1:16" ht="25.5" customHeight="1">
      <c r="A9" s="48"/>
      <c r="B9" s="33"/>
      <c r="C9" s="34" t="b">
        <f>FALSE()</f>
        <v>0</v>
      </c>
      <c r="D9" s="49" t="s">
        <v>332</v>
      </c>
      <c r="E9" s="50" t="s">
        <v>335</v>
      </c>
      <c r="F9" s="40" t="str">
        <f>IF(C9,"Completado","Pendiente")</f>
        <v>Pendiente</v>
      </c>
      <c r="G9" s="41"/>
      <c r="H9" s="42"/>
      <c r="I9" s="46"/>
      <c r="J9" s="34"/>
      <c r="K9" s="34"/>
      <c r="L9" s="34"/>
      <c r="M9" s="34"/>
      <c r="N9" s="34"/>
      <c r="O9" s="34"/>
      <c r="P9" s="34"/>
    </row>
    <row r="10" spans="1:16" ht="25.5" customHeight="1">
      <c r="A10" s="48"/>
      <c r="B10" s="51"/>
      <c r="C10" s="52" t="b">
        <f>FALSE()</f>
        <v>0</v>
      </c>
      <c r="D10" s="53" t="s">
        <v>332</v>
      </c>
      <c r="E10" s="54" t="s">
        <v>336</v>
      </c>
      <c r="F10" s="40" t="str">
        <f>IF(C10,"Completado","Pendiente")</f>
        <v>Pendiente</v>
      </c>
      <c r="G10" s="41"/>
      <c r="H10" s="42"/>
      <c r="I10" s="46"/>
      <c r="J10" s="52"/>
      <c r="K10" s="52"/>
      <c r="L10" s="52"/>
      <c r="M10" s="52"/>
      <c r="N10" s="52"/>
      <c r="O10" s="52"/>
      <c r="P10" s="52"/>
    </row>
    <row r="11" spans="1:16" ht="25.5" customHeight="1">
      <c r="A11" s="48"/>
      <c r="B11" s="33"/>
      <c r="C11" s="34" t="b">
        <f>FALSE()</f>
        <v>0</v>
      </c>
      <c r="D11" s="49" t="s">
        <v>332</v>
      </c>
      <c r="E11" s="50" t="s">
        <v>337</v>
      </c>
      <c r="F11" s="40" t="str">
        <f>IF(C11,"Completado","Pendiente")</f>
        <v>Pendiente</v>
      </c>
      <c r="G11" s="41"/>
      <c r="H11" s="42"/>
      <c r="I11" s="46"/>
      <c r="J11" s="34"/>
      <c r="K11" s="34"/>
      <c r="L11" s="34"/>
      <c r="M11" s="34"/>
      <c r="N11" s="34"/>
      <c r="O11" s="34"/>
      <c r="P11" s="34"/>
    </row>
    <row r="12" spans="1:16" ht="25.5" customHeight="1">
      <c r="A12" s="48"/>
      <c r="B12" s="51"/>
      <c r="C12" s="52" t="b">
        <f>FALSE()</f>
        <v>0</v>
      </c>
      <c r="D12" s="53" t="s">
        <v>332</v>
      </c>
      <c r="E12" s="54" t="s">
        <v>338</v>
      </c>
      <c r="F12" s="40" t="str">
        <f>IF(C12,"Completado","Pendiente")</f>
        <v>Pendiente</v>
      </c>
      <c r="G12" s="41"/>
      <c r="H12" s="42"/>
      <c r="I12" s="46"/>
      <c r="J12" s="52"/>
      <c r="K12" s="52"/>
      <c r="L12" s="52"/>
      <c r="M12" s="52"/>
      <c r="N12" s="52"/>
      <c r="O12" s="52"/>
      <c r="P12" s="52"/>
    </row>
    <row r="13" spans="1:16" ht="4.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</row>
    <row r="14" spans="1:16" ht="39.75" customHeight="1">
      <c r="A14" s="14"/>
      <c r="B14" s="51"/>
      <c r="C14" s="52" t="b">
        <f>FALSE()</f>
        <v>0</v>
      </c>
      <c r="D14" s="55" t="s">
        <v>339</v>
      </c>
      <c r="E14" s="56" t="s">
        <v>340</v>
      </c>
      <c r="F14" s="57" t="s">
        <v>341</v>
      </c>
      <c r="G14" s="38" t="s">
        <v>206</v>
      </c>
      <c r="H14" s="39" t="s">
        <v>36</v>
      </c>
      <c r="I14" s="40" t="str">
        <f>IF(C14,"Completado","Pendiente")</f>
        <v>Pendiente</v>
      </c>
      <c r="J14" s="41"/>
      <c r="K14" s="42"/>
      <c r="L14" s="42"/>
      <c r="M14" s="43">
        <f>COUNTA(E16:E69)</f>
        <v>34</v>
      </c>
      <c r="N14" s="44">
        <f>COUNTIF(F16:F69,"Completado")</f>
        <v>0</v>
      </c>
      <c r="O14" s="45">
        <f>IFERROR(COUNTIF(F16:F69,"Completado")/COUNTA(E16:E69),0)</f>
        <v>0</v>
      </c>
      <c r="P14" s="46"/>
    </row>
    <row r="15" spans="1:16" ht="18" customHeight="1">
      <c r="A15" s="47"/>
      <c r="B15" s="47" t="s">
        <v>20</v>
      </c>
      <c r="C15" s="47" t="s">
        <v>21</v>
      </c>
      <c r="D15" s="47" t="s">
        <v>38</v>
      </c>
      <c r="E15" s="47" t="s">
        <v>39</v>
      </c>
      <c r="F15" s="47" t="s">
        <v>27</v>
      </c>
      <c r="G15" s="47" t="s">
        <v>28</v>
      </c>
      <c r="H15" s="47" t="s">
        <v>30</v>
      </c>
      <c r="I15" s="47" t="s">
        <v>40</v>
      </c>
      <c r="J15" s="14"/>
      <c r="K15" s="14"/>
      <c r="L15" s="14"/>
      <c r="M15" s="14"/>
      <c r="N15" s="14"/>
      <c r="O15" s="14"/>
      <c r="P15" s="14"/>
    </row>
    <row r="16" spans="1:16" ht="25.5" customHeight="1">
      <c r="A16" s="48"/>
      <c r="B16" s="33"/>
      <c r="C16" s="34" t="b">
        <f>FALSE()</f>
        <v>0</v>
      </c>
      <c r="D16" s="49" t="s">
        <v>339</v>
      </c>
      <c r="E16" s="50" t="s">
        <v>342</v>
      </c>
      <c r="F16" s="40" t="str">
        <f>IF(C16,"Completado","Pendiente")</f>
        <v>Pendiente</v>
      </c>
      <c r="G16" s="41"/>
      <c r="H16" s="42"/>
      <c r="I16" s="46"/>
      <c r="J16" s="34"/>
      <c r="K16" s="34"/>
      <c r="L16" s="34"/>
      <c r="M16" s="34"/>
      <c r="N16" s="34"/>
      <c r="O16" s="34"/>
      <c r="P16" s="34"/>
    </row>
    <row r="17" spans="1:16" ht="25.5" customHeight="1">
      <c r="A17" s="48"/>
      <c r="B17" s="51"/>
      <c r="C17" s="52" t="b">
        <f>FALSE()</f>
        <v>0</v>
      </c>
      <c r="D17" s="53" t="s">
        <v>339</v>
      </c>
      <c r="E17" s="54" t="s">
        <v>343</v>
      </c>
      <c r="F17" s="40" t="str">
        <f>IF(C17,"Completado","Pendiente")</f>
        <v>Pendiente</v>
      </c>
      <c r="G17" s="41"/>
      <c r="H17" s="42"/>
      <c r="I17" s="46"/>
      <c r="J17" s="52"/>
      <c r="K17" s="52"/>
      <c r="L17" s="52"/>
      <c r="M17" s="52"/>
      <c r="N17" s="52"/>
      <c r="O17" s="52"/>
      <c r="P17" s="52"/>
    </row>
    <row r="18" spans="1:16" ht="25.5" customHeight="1">
      <c r="A18" s="48"/>
      <c r="B18" s="33"/>
      <c r="C18" s="34" t="b">
        <f>FALSE()</f>
        <v>0</v>
      </c>
      <c r="D18" s="49" t="s">
        <v>339</v>
      </c>
      <c r="E18" s="50" t="s">
        <v>344</v>
      </c>
      <c r="F18" s="40" t="str">
        <f>IF(C18,"Completado","Pendiente")</f>
        <v>Pendiente</v>
      </c>
      <c r="G18" s="41"/>
      <c r="H18" s="42"/>
      <c r="I18" s="46"/>
      <c r="J18" s="34"/>
      <c r="K18" s="34"/>
      <c r="L18" s="34"/>
      <c r="M18" s="34"/>
      <c r="N18" s="34"/>
      <c r="O18" s="34"/>
      <c r="P18" s="34"/>
    </row>
    <row r="19" spans="1:16" ht="25.5" customHeight="1">
      <c r="A19" s="48"/>
      <c r="B19" s="51"/>
      <c r="C19" s="52" t="b">
        <f>FALSE()</f>
        <v>0</v>
      </c>
      <c r="D19" s="53" t="s">
        <v>339</v>
      </c>
      <c r="E19" s="54" t="s">
        <v>345</v>
      </c>
      <c r="F19" s="40" t="str">
        <f>IF(C19,"Completado","Pendiente")</f>
        <v>Pendiente</v>
      </c>
      <c r="G19" s="41"/>
      <c r="H19" s="42"/>
      <c r="I19" s="46"/>
      <c r="J19" s="52"/>
      <c r="K19" s="52"/>
      <c r="L19" s="52"/>
      <c r="M19" s="52"/>
      <c r="N19" s="52"/>
      <c r="O19" s="52"/>
      <c r="P19" s="52"/>
    </row>
    <row r="20" spans="1:16" ht="4.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spans="1:16" ht="39.75" customHeight="1">
      <c r="A21" s="14"/>
      <c r="B21" s="33"/>
      <c r="C21" s="34" t="b">
        <f>FALSE()</f>
        <v>0</v>
      </c>
      <c r="D21" s="35" t="s">
        <v>346</v>
      </c>
      <c r="E21" s="36" t="s">
        <v>347</v>
      </c>
      <c r="F21" s="37" t="s">
        <v>348</v>
      </c>
      <c r="G21" s="38" t="s">
        <v>90</v>
      </c>
      <c r="H21" s="39" t="s">
        <v>36</v>
      </c>
      <c r="I21" s="40" t="str">
        <f>IF(C21,"Completado","Pendiente")</f>
        <v>Pendiente</v>
      </c>
      <c r="J21" s="41"/>
      <c r="K21" s="42"/>
      <c r="L21" s="42"/>
      <c r="M21" s="43">
        <f>COUNTA(E23:E76)</f>
        <v>28</v>
      </c>
      <c r="N21" s="44">
        <f>COUNTIF(F23:F76,"Completado")</f>
        <v>0</v>
      </c>
      <c r="O21" s="45">
        <f>IFERROR(COUNTIF(F23:F76,"Completado")/COUNTA(E23:E76),0)</f>
        <v>0</v>
      </c>
      <c r="P21" s="46"/>
    </row>
    <row r="22" spans="1:16" ht="18" customHeight="1">
      <c r="A22" s="47"/>
      <c r="B22" s="47" t="s">
        <v>20</v>
      </c>
      <c r="C22" s="47" t="s">
        <v>21</v>
      </c>
      <c r="D22" s="47" t="s">
        <v>38</v>
      </c>
      <c r="E22" s="47" t="s">
        <v>39</v>
      </c>
      <c r="F22" s="47" t="s">
        <v>27</v>
      </c>
      <c r="G22" s="47" t="s">
        <v>28</v>
      </c>
      <c r="H22" s="47" t="s">
        <v>30</v>
      </c>
      <c r="I22" s="47" t="s">
        <v>40</v>
      </c>
      <c r="J22" s="14"/>
      <c r="K22" s="14"/>
      <c r="L22" s="14"/>
      <c r="M22" s="14"/>
      <c r="N22" s="14"/>
      <c r="O22" s="14"/>
      <c r="P22" s="14"/>
    </row>
    <row r="23" spans="1:16" ht="25.5" customHeight="1">
      <c r="A23" s="48"/>
      <c r="B23" s="33"/>
      <c r="C23" s="34" t="b">
        <f>FALSE()</f>
        <v>0</v>
      </c>
      <c r="D23" s="49" t="s">
        <v>346</v>
      </c>
      <c r="E23" s="50" t="s">
        <v>349</v>
      </c>
      <c r="F23" s="40" t="str">
        <f>IF(C23,"Completado","Pendiente")</f>
        <v>Pendiente</v>
      </c>
      <c r="G23" s="41"/>
      <c r="H23" s="42"/>
      <c r="I23" s="46"/>
      <c r="J23" s="34"/>
      <c r="K23" s="34"/>
      <c r="L23" s="34"/>
      <c r="M23" s="34"/>
      <c r="N23" s="34"/>
      <c r="O23" s="34"/>
      <c r="P23" s="34"/>
    </row>
    <row r="24" spans="1:16" ht="25.5" customHeight="1">
      <c r="A24" s="48"/>
      <c r="B24" s="51"/>
      <c r="C24" s="52" t="b">
        <f>FALSE()</f>
        <v>0</v>
      </c>
      <c r="D24" s="53" t="s">
        <v>346</v>
      </c>
      <c r="E24" s="54" t="s">
        <v>350</v>
      </c>
      <c r="F24" s="40" t="str">
        <f>IF(C24,"Completado","Pendiente")</f>
        <v>Pendiente</v>
      </c>
      <c r="G24" s="41"/>
      <c r="H24" s="42"/>
      <c r="I24" s="46"/>
      <c r="J24" s="52"/>
      <c r="K24" s="52"/>
      <c r="L24" s="52"/>
      <c r="M24" s="52"/>
      <c r="N24" s="52"/>
      <c r="O24" s="52"/>
      <c r="P24" s="52"/>
    </row>
    <row r="25" spans="1:16" ht="25.5" customHeight="1">
      <c r="A25" s="48"/>
      <c r="B25" s="33"/>
      <c r="C25" s="34" t="b">
        <f>FALSE()</f>
        <v>0</v>
      </c>
      <c r="D25" s="49" t="s">
        <v>346</v>
      </c>
      <c r="E25" s="50" t="s">
        <v>351</v>
      </c>
      <c r="F25" s="40" t="str">
        <f>IF(C25,"Completado","Pendiente")</f>
        <v>Pendiente</v>
      </c>
      <c r="G25" s="41"/>
      <c r="H25" s="42"/>
      <c r="I25" s="46"/>
      <c r="J25" s="34"/>
      <c r="K25" s="34"/>
      <c r="L25" s="34"/>
      <c r="M25" s="34"/>
      <c r="N25" s="34"/>
      <c r="O25" s="34"/>
      <c r="P25" s="34"/>
    </row>
    <row r="26" spans="1:16" ht="25.5" customHeight="1">
      <c r="A26" s="48"/>
      <c r="B26" s="51"/>
      <c r="C26" s="52" t="b">
        <f>FALSE()</f>
        <v>0</v>
      </c>
      <c r="D26" s="53" t="s">
        <v>346</v>
      </c>
      <c r="E26" s="54" t="s">
        <v>352</v>
      </c>
      <c r="F26" s="40" t="str">
        <f>IF(C26,"Completado","Pendiente")</f>
        <v>Pendiente</v>
      </c>
      <c r="G26" s="41"/>
      <c r="H26" s="42"/>
      <c r="I26" s="46"/>
      <c r="J26" s="52"/>
      <c r="K26" s="52"/>
      <c r="L26" s="52"/>
      <c r="M26" s="52"/>
      <c r="N26" s="52"/>
      <c r="O26" s="52"/>
      <c r="P26" s="52"/>
    </row>
    <row r="27" spans="1:16" ht="4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</row>
    <row r="28" spans="1:16" ht="39.75" customHeight="1">
      <c r="A28" s="14"/>
      <c r="B28" s="51"/>
      <c r="C28" s="52" t="b">
        <f>FALSE()</f>
        <v>0</v>
      </c>
      <c r="D28" s="55" t="s">
        <v>353</v>
      </c>
      <c r="E28" s="56" t="s">
        <v>354</v>
      </c>
      <c r="F28" s="57" t="s">
        <v>355</v>
      </c>
      <c r="G28" s="38" t="s">
        <v>285</v>
      </c>
      <c r="H28" s="39" t="s">
        <v>36</v>
      </c>
      <c r="I28" s="40" t="str">
        <f>IF(C28,"Completado","Pendiente")</f>
        <v>Pendiente</v>
      </c>
      <c r="J28" s="41"/>
      <c r="K28" s="42"/>
      <c r="L28" s="42"/>
      <c r="M28" s="43">
        <f>COUNTA(E30:E83)</f>
        <v>22</v>
      </c>
      <c r="N28" s="44">
        <f>COUNTIF(F30:F83,"Completado")</f>
        <v>0</v>
      </c>
      <c r="O28" s="45">
        <f>IFERROR(COUNTIF(F30:F83,"Completado")/COUNTA(E30:E83),0)</f>
        <v>0</v>
      </c>
      <c r="P28" s="46"/>
    </row>
    <row r="29" spans="1:16" ht="18" customHeight="1">
      <c r="A29" s="47"/>
      <c r="B29" s="47" t="s">
        <v>20</v>
      </c>
      <c r="C29" s="47" t="s">
        <v>21</v>
      </c>
      <c r="D29" s="47" t="s">
        <v>38</v>
      </c>
      <c r="E29" s="47" t="s">
        <v>39</v>
      </c>
      <c r="F29" s="47" t="s">
        <v>27</v>
      </c>
      <c r="G29" s="47" t="s">
        <v>28</v>
      </c>
      <c r="H29" s="47" t="s">
        <v>30</v>
      </c>
      <c r="I29" s="47" t="s">
        <v>40</v>
      </c>
      <c r="J29" s="14"/>
      <c r="K29" s="14"/>
      <c r="L29" s="14"/>
      <c r="M29" s="14"/>
      <c r="N29" s="14"/>
      <c r="O29" s="14"/>
      <c r="P29" s="14"/>
    </row>
    <row r="30" spans="1:16" ht="25.5" customHeight="1">
      <c r="A30" s="48"/>
      <c r="B30" s="33"/>
      <c r="C30" s="34" t="b">
        <f>FALSE()</f>
        <v>0</v>
      </c>
      <c r="D30" s="49" t="s">
        <v>353</v>
      </c>
      <c r="E30" s="50" t="s">
        <v>356</v>
      </c>
      <c r="F30" s="40" t="str">
        <f>IF(C30,"Completado","Pendiente")</f>
        <v>Pendiente</v>
      </c>
      <c r="G30" s="41"/>
      <c r="H30" s="42"/>
      <c r="I30" s="46"/>
      <c r="J30" s="34"/>
      <c r="K30" s="34"/>
      <c r="L30" s="34"/>
      <c r="M30" s="34"/>
      <c r="N30" s="34"/>
      <c r="O30" s="34"/>
      <c r="P30" s="34"/>
    </row>
    <row r="31" spans="1:16" ht="25.5" customHeight="1">
      <c r="A31" s="48"/>
      <c r="B31" s="51"/>
      <c r="C31" s="52" t="b">
        <f>FALSE()</f>
        <v>0</v>
      </c>
      <c r="D31" s="53" t="s">
        <v>353</v>
      </c>
      <c r="E31" s="54" t="s">
        <v>357</v>
      </c>
      <c r="F31" s="40" t="str">
        <f>IF(C31,"Completado","Pendiente")</f>
        <v>Pendiente</v>
      </c>
      <c r="G31" s="41"/>
      <c r="H31" s="42"/>
      <c r="I31" s="46"/>
      <c r="J31" s="52"/>
      <c r="K31" s="52"/>
      <c r="L31" s="52"/>
      <c r="M31" s="52"/>
      <c r="N31" s="52"/>
      <c r="O31" s="52"/>
      <c r="P31" s="52"/>
    </row>
    <row r="32" spans="1:16" ht="25.5" customHeight="1">
      <c r="A32" s="48"/>
      <c r="B32" s="33"/>
      <c r="C32" s="34" t="b">
        <f>FALSE()</f>
        <v>0</v>
      </c>
      <c r="D32" s="49" t="s">
        <v>353</v>
      </c>
      <c r="E32" s="50" t="s">
        <v>358</v>
      </c>
      <c r="F32" s="40" t="str">
        <f>IF(C32,"Completado","Pendiente")</f>
        <v>Pendiente</v>
      </c>
      <c r="G32" s="41"/>
      <c r="H32" s="42"/>
      <c r="I32" s="46"/>
      <c r="J32" s="34"/>
      <c r="K32" s="34"/>
      <c r="L32" s="34"/>
      <c r="M32" s="34"/>
      <c r="N32" s="34"/>
      <c r="O32" s="34"/>
      <c r="P32" s="34"/>
    </row>
    <row r="33" spans="1:16" ht="25.5" customHeight="1">
      <c r="A33" s="48"/>
      <c r="B33" s="51"/>
      <c r="C33" s="52" t="b">
        <f>FALSE()</f>
        <v>0</v>
      </c>
      <c r="D33" s="53" t="s">
        <v>353</v>
      </c>
      <c r="E33" s="54" t="s">
        <v>359</v>
      </c>
      <c r="F33" s="40" t="str">
        <f>IF(C33,"Completado","Pendiente")</f>
        <v>Pendiente</v>
      </c>
      <c r="G33" s="41"/>
      <c r="H33" s="42"/>
      <c r="I33" s="46"/>
      <c r="J33" s="52"/>
      <c r="K33" s="52"/>
      <c r="L33" s="52"/>
      <c r="M33" s="52"/>
      <c r="N33" s="52"/>
      <c r="O33" s="52"/>
      <c r="P33" s="52"/>
    </row>
    <row r="34" spans="1:16" ht="4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1:16" ht="39.75" customHeight="1">
      <c r="A35" s="14"/>
      <c r="B35" s="33"/>
      <c r="C35" s="34" t="b">
        <f>FALSE()</f>
        <v>0</v>
      </c>
      <c r="D35" s="35" t="s">
        <v>360</v>
      </c>
      <c r="E35" s="36" t="s">
        <v>361</v>
      </c>
      <c r="F35" s="37" t="s">
        <v>362</v>
      </c>
      <c r="G35" s="38" t="s">
        <v>90</v>
      </c>
      <c r="H35" s="39" t="s">
        <v>36</v>
      </c>
      <c r="I35" s="40" t="str">
        <f>IF(C35,"Completado","Pendiente")</f>
        <v>Pendiente</v>
      </c>
      <c r="J35" s="41"/>
      <c r="K35" s="42"/>
      <c r="L35" s="42"/>
      <c r="M35" s="43">
        <f>COUNTA(E37:E90)</f>
        <v>16</v>
      </c>
      <c r="N35" s="44">
        <f>COUNTIF(F37:F90,"Completado")</f>
        <v>0</v>
      </c>
      <c r="O35" s="45">
        <f>IFERROR(COUNTIF(F37:F90,"Completado")/COUNTA(E37:E90),0)</f>
        <v>0</v>
      </c>
      <c r="P35" s="46"/>
    </row>
    <row r="36" spans="1:16" ht="18" customHeight="1">
      <c r="A36" s="47"/>
      <c r="B36" s="47" t="s">
        <v>20</v>
      </c>
      <c r="C36" s="47" t="s">
        <v>21</v>
      </c>
      <c r="D36" s="47" t="s">
        <v>38</v>
      </c>
      <c r="E36" s="47" t="s">
        <v>39</v>
      </c>
      <c r="F36" s="47" t="s">
        <v>27</v>
      </c>
      <c r="G36" s="47" t="s">
        <v>28</v>
      </c>
      <c r="H36" s="47" t="s">
        <v>30</v>
      </c>
      <c r="I36" s="47" t="s">
        <v>40</v>
      </c>
      <c r="J36" s="14"/>
      <c r="K36" s="14"/>
      <c r="L36" s="14"/>
      <c r="M36" s="14"/>
      <c r="N36" s="14"/>
      <c r="O36" s="14"/>
      <c r="P36" s="14"/>
    </row>
    <row r="37" spans="1:16" ht="25.5" customHeight="1">
      <c r="A37" s="48"/>
      <c r="B37" s="33"/>
      <c r="C37" s="34" t="b">
        <f>FALSE()</f>
        <v>0</v>
      </c>
      <c r="D37" s="49" t="s">
        <v>360</v>
      </c>
      <c r="E37" s="50" t="s">
        <v>363</v>
      </c>
      <c r="F37" s="40" t="str">
        <f>IF(C37,"Completado","Pendiente")</f>
        <v>Pendiente</v>
      </c>
      <c r="G37" s="41"/>
      <c r="H37" s="42"/>
      <c r="I37" s="46"/>
      <c r="J37" s="34"/>
      <c r="K37" s="34"/>
      <c r="L37" s="34"/>
      <c r="M37" s="34"/>
      <c r="N37" s="34"/>
      <c r="O37" s="34"/>
      <c r="P37" s="34"/>
    </row>
    <row r="38" spans="1:16" ht="25.5" customHeight="1">
      <c r="A38" s="48"/>
      <c r="B38" s="51"/>
      <c r="C38" s="52" t="b">
        <f>FALSE()</f>
        <v>0</v>
      </c>
      <c r="D38" s="53" t="s">
        <v>360</v>
      </c>
      <c r="E38" s="54" t="s">
        <v>364</v>
      </c>
      <c r="F38" s="40" t="str">
        <f>IF(C38,"Completado","Pendiente")</f>
        <v>Pendiente</v>
      </c>
      <c r="G38" s="41"/>
      <c r="H38" s="42"/>
      <c r="I38" s="46"/>
      <c r="J38" s="52"/>
      <c r="K38" s="52"/>
      <c r="L38" s="52"/>
      <c r="M38" s="52"/>
      <c r="N38" s="52"/>
      <c r="O38" s="52"/>
      <c r="P38" s="52"/>
    </row>
    <row r="39" spans="1:16" ht="25.5" customHeight="1">
      <c r="A39" s="48"/>
      <c r="B39" s="33"/>
      <c r="C39" s="34" t="b">
        <f>FALSE()</f>
        <v>0</v>
      </c>
      <c r="D39" s="49" t="s">
        <v>360</v>
      </c>
      <c r="E39" s="50" t="s">
        <v>365</v>
      </c>
      <c r="F39" s="40" t="str">
        <f>IF(C39,"Completado","Pendiente")</f>
        <v>Pendiente</v>
      </c>
      <c r="G39" s="41"/>
      <c r="H39" s="42"/>
      <c r="I39" s="46"/>
      <c r="J39" s="34"/>
      <c r="K39" s="34"/>
      <c r="L39" s="34"/>
      <c r="M39" s="34"/>
      <c r="N39" s="34"/>
      <c r="O39" s="34"/>
      <c r="P39" s="34"/>
    </row>
    <row r="40" spans="1:16" ht="25.5" customHeight="1">
      <c r="A40" s="48"/>
      <c r="B40" s="51"/>
      <c r="C40" s="52" t="b">
        <f>FALSE()</f>
        <v>0</v>
      </c>
      <c r="D40" s="53" t="s">
        <v>360</v>
      </c>
      <c r="E40" s="54" t="s">
        <v>366</v>
      </c>
      <c r="F40" s="40" t="str">
        <f>IF(C40,"Completado","Pendiente")</f>
        <v>Pendiente</v>
      </c>
      <c r="G40" s="41"/>
      <c r="H40" s="42"/>
      <c r="I40" s="46"/>
      <c r="J40" s="52"/>
      <c r="K40" s="52"/>
      <c r="L40" s="52"/>
      <c r="M40" s="52"/>
      <c r="N40" s="52"/>
      <c r="O40" s="52"/>
      <c r="P40" s="52"/>
    </row>
    <row r="41" spans="1:16" ht="4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16" ht="39.75" customHeight="1">
      <c r="A42" s="14"/>
      <c r="B42" s="51"/>
      <c r="C42" s="52" t="b">
        <f>FALSE()</f>
        <v>0</v>
      </c>
      <c r="D42" s="55" t="s">
        <v>367</v>
      </c>
      <c r="E42" s="56" t="s">
        <v>368</v>
      </c>
      <c r="F42" s="57" t="s">
        <v>369</v>
      </c>
      <c r="G42" s="38" t="s">
        <v>206</v>
      </c>
      <c r="H42" s="58" t="s">
        <v>101</v>
      </c>
      <c r="I42" s="40" t="str">
        <f>IF(C42,"Completado","Pendiente")</f>
        <v>Pendiente</v>
      </c>
      <c r="J42" s="41"/>
      <c r="K42" s="42"/>
      <c r="L42" s="42"/>
      <c r="M42" s="43">
        <f>COUNTA(E44:E97)</f>
        <v>10</v>
      </c>
      <c r="N42" s="44">
        <f>COUNTIF(F44:F97,"Completado")</f>
        <v>0</v>
      </c>
      <c r="O42" s="45">
        <f>IFERROR(COUNTIF(F44:F97,"Completado")/COUNTA(E44:E97),0)</f>
        <v>0</v>
      </c>
      <c r="P42" s="46"/>
    </row>
    <row r="43" spans="1:16" ht="18" customHeight="1">
      <c r="A43" s="47"/>
      <c r="B43" s="47" t="s">
        <v>20</v>
      </c>
      <c r="C43" s="47" t="s">
        <v>21</v>
      </c>
      <c r="D43" s="47" t="s">
        <v>38</v>
      </c>
      <c r="E43" s="47" t="s">
        <v>39</v>
      </c>
      <c r="F43" s="47" t="s">
        <v>27</v>
      </c>
      <c r="G43" s="47" t="s">
        <v>28</v>
      </c>
      <c r="H43" s="47" t="s">
        <v>30</v>
      </c>
      <c r="I43" s="47" t="s">
        <v>40</v>
      </c>
      <c r="J43" s="14"/>
      <c r="K43" s="14"/>
      <c r="L43" s="14"/>
      <c r="M43" s="14"/>
      <c r="N43" s="14"/>
      <c r="O43" s="14"/>
      <c r="P43" s="14"/>
    </row>
    <row r="44" spans="1:16" ht="25.5" customHeight="1">
      <c r="A44" s="48"/>
      <c r="B44" s="33"/>
      <c r="C44" s="34" t="b">
        <f>FALSE()</f>
        <v>0</v>
      </c>
      <c r="D44" s="49" t="s">
        <v>367</v>
      </c>
      <c r="E44" s="50" t="s">
        <v>370</v>
      </c>
      <c r="F44" s="40" t="str">
        <f>IF(C44,"Completado","Pendiente")</f>
        <v>Pendiente</v>
      </c>
      <c r="G44" s="41"/>
      <c r="H44" s="42"/>
      <c r="I44" s="46"/>
      <c r="J44" s="34"/>
      <c r="K44" s="34"/>
      <c r="L44" s="34"/>
      <c r="M44" s="34"/>
      <c r="N44" s="34"/>
      <c r="O44" s="34"/>
      <c r="P44" s="34"/>
    </row>
    <row r="45" spans="1:16" ht="25.5" customHeight="1">
      <c r="A45" s="48"/>
      <c r="B45" s="51"/>
      <c r="C45" s="52" t="b">
        <f>FALSE()</f>
        <v>0</v>
      </c>
      <c r="D45" s="53" t="s">
        <v>367</v>
      </c>
      <c r="E45" s="54" t="s">
        <v>371</v>
      </c>
      <c r="F45" s="40" t="str">
        <f>IF(C45,"Completado","Pendiente")</f>
        <v>Pendiente</v>
      </c>
      <c r="G45" s="41"/>
      <c r="H45" s="42"/>
      <c r="I45" s="46"/>
      <c r="J45" s="52"/>
      <c r="K45" s="52"/>
      <c r="L45" s="52"/>
      <c r="M45" s="52"/>
      <c r="N45" s="52"/>
      <c r="O45" s="52"/>
      <c r="P45" s="52"/>
    </row>
    <row r="46" spans="1:16" ht="25.5" customHeight="1">
      <c r="A46" s="48"/>
      <c r="B46" s="33"/>
      <c r="C46" s="34" t="b">
        <f>FALSE()</f>
        <v>0</v>
      </c>
      <c r="D46" s="49" t="s">
        <v>367</v>
      </c>
      <c r="E46" s="50" t="s">
        <v>372</v>
      </c>
      <c r="F46" s="40" t="str">
        <f>IF(C46,"Completado","Pendiente")</f>
        <v>Pendiente</v>
      </c>
      <c r="G46" s="41"/>
      <c r="H46" s="42"/>
      <c r="I46" s="46"/>
      <c r="J46" s="34"/>
      <c r="K46" s="34"/>
      <c r="L46" s="34"/>
      <c r="M46" s="34"/>
      <c r="N46" s="34"/>
      <c r="O46" s="34"/>
      <c r="P46" s="34"/>
    </row>
    <row r="47" spans="1:16" ht="25.5" customHeight="1">
      <c r="A47" s="48"/>
      <c r="B47" s="51"/>
      <c r="C47" s="52" t="b">
        <f>FALSE()</f>
        <v>0</v>
      </c>
      <c r="D47" s="53" t="s">
        <v>367</v>
      </c>
      <c r="E47" s="54" t="s">
        <v>373</v>
      </c>
      <c r="F47" s="40" t="str">
        <f>IF(C47,"Completado","Pendiente")</f>
        <v>Pendiente</v>
      </c>
      <c r="G47" s="41"/>
      <c r="H47" s="42"/>
      <c r="I47" s="46"/>
      <c r="J47" s="52"/>
      <c r="K47" s="52"/>
      <c r="L47" s="52"/>
      <c r="M47" s="52"/>
      <c r="N47" s="52"/>
      <c r="O47" s="52"/>
      <c r="P47" s="52"/>
    </row>
    <row r="48" spans="1:16" ht="4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16" ht="39.75" customHeight="1">
      <c r="A49" s="14"/>
      <c r="B49" s="33"/>
      <c r="C49" s="34" t="b">
        <f>FALSE()</f>
        <v>0</v>
      </c>
      <c r="D49" s="35" t="s">
        <v>374</v>
      </c>
      <c r="E49" s="36" t="s">
        <v>375</v>
      </c>
      <c r="F49" s="37" t="s">
        <v>376</v>
      </c>
      <c r="G49" s="38" t="s">
        <v>377</v>
      </c>
      <c r="H49" s="58" t="s">
        <v>101</v>
      </c>
      <c r="I49" s="40" t="str">
        <f>IF(C49,"Completado","Pendiente")</f>
        <v>Pendiente</v>
      </c>
      <c r="J49" s="41"/>
      <c r="K49" s="42"/>
      <c r="L49" s="42"/>
      <c r="M49" s="43">
        <f>COUNTA(E51:E103)</f>
        <v>4</v>
      </c>
      <c r="N49" s="44">
        <f>COUNTIF(F51:F103,"Completado")</f>
        <v>0</v>
      </c>
      <c r="O49" s="45">
        <f>IFERROR(COUNTIF(F51:F103,"Completado")/COUNTA(E51:E103),0)</f>
        <v>0</v>
      </c>
      <c r="P49" s="46"/>
    </row>
    <row r="50" spans="1:16" ht="18" customHeight="1">
      <c r="A50" s="47"/>
      <c r="B50" s="47" t="s">
        <v>20</v>
      </c>
      <c r="C50" s="47" t="s">
        <v>21</v>
      </c>
      <c r="D50" s="47" t="s">
        <v>38</v>
      </c>
      <c r="E50" s="47" t="s">
        <v>39</v>
      </c>
      <c r="F50" s="47" t="s">
        <v>27</v>
      </c>
      <c r="G50" s="47" t="s">
        <v>28</v>
      </c>
      <c r="H50" s="47" t="s">
        <v>30</v>
      </c>
      <c r="I50" s="47" t="s">
        <v>40</v>
      </c>
      <c r="J50" s="14"/>
      <c r="K50" s="14"/>
      <c r="L50" s="14"/>
      <c r="M50" s="14"/>
      <c r="N50" s="14"/>
      <c r="O50" s="14"/>
      <c r="P50" s="14"/>
    </row>
    <row r="51" spans="1:16" ht="25.5" customHeight="1">
      <c r="A51" s="48"/>
      <c r="B51" s="33"/>
      <c r="C51" s="34" t="b">
        <f>FALSE()</f>
        <v>0</v>
      </c>
      <c r="D51" s="49" t="s">
        <v>374</v>
      </c>
      <c r="E51" s="50" t="s">
        <v>378</v>
      </c>
      <c r="F51" s="40" t="str">
        <f>IF(C51,"Completado","Pendiente")</f>
        <v>Pendiente</v>
      </c>
      <c r="G51" s="41"/>
      <c r="H51" s="42"/>
      <c r="I51" s="46"/>
      <c r="J51" s="34"/>
      <c r="K51" s="34"/>
      <c r="L51" s="34"/>
      <c r="M51" s="34"/>
      <c r="N51" s="34"/>
      <c r="O51" s="34"/>
      <c r="P51" s="34"/>
    </row>
    <row r="52" spans="1:16" ht="25.5" customHeight="1">
      <c r="A52" s="48"/>
      <c r="B52" s="51"/>
      <c r="C52" s="52" t="b">
        <f>FALSE()</f>
        <v>0</v>
      </c>
      <c r="D52" s="53" t="s">
        <v>374</v>
      </c>
      <c r="E52" s="54" t="s">
        <v>379</v>
      </c>
      <c r="F52" s="40" t="str">
        <f>IF(C52,"Completado","Pendiente")</f>
        <v>Pendiente</v>
      </c>
      <c r="G52" s="41"/>
      <c r="H52" s="42"/>
      <c r="I52" s="46"/>
      <c r="J52" s="52"/>
      <c r="K52" s="52"/>
      <c r="L52" s="52"/>
      <c r="M52" s="52"/>
      <c r="N52" s="52"/>
      <c r="O52" s="52"/>
      <c r="P52" s="52"/>
    </row>
    <row r="53" spans="1:16" ht="25.5" customHeight="1">
      <c r="A53" s="48"/>
      <c r="B53" s="33"/>
      <c r="C53" s="34" t="b">
        <f>FALSE()</f>
        <v>0</v>
      </c>
      <c r="D53" s="49" t="s">
        <v>374</v>
      </c>
      <c r="E53" s="50" t="s">
        <v>380</v>
      </c>
      <c r="F53" s="40" t="str">
        <f>IF(C53,"Completado","Pendiente")</f>
        <v>Pendiente</v>
      </c>
      <c r="G53" s="41"/>
      <c r="H53" s="42"/>
      <c r="I53" s="46"/>
      <c r="J53" s="34"/>
      <c r="K53" s="34"/>
      <c r="L53" s="34"/>
      <c r="M53" s="34"/>
      <c r="N53" s="34"/>
      <c r="O53" s="34"/>
      <c r="P53" s="34"/>
    </row>
    <row r="54" spans="1:16" ht="4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 spans="1:16" ht="25.5" customHeight="1">
      <c r="A55" s="108" t="s">
        <v>116</v>
      </c>
      <c r="B55" s="108"/>
      <c r="C55" s="108"/>
      <c r="D55" s="108"/>
      <c r="E55" s="109" t="str">
        <f>"7 Epics  |  "&amp;SUMPRODUCT((E7:E53&lt;&gt;"")*1)&amp;" Subtareas activas"</f>
        <v>7 Epics  |  41 Subtareas activas</v>
      </c>
      <c r="F55" s="109"/>
      <c r="G55" s="109"/>
      <c r="H55" s="109"/>
      <c r="N55" s="44">
        <f>COUNTIF(F7:F53,"Completado")</f>
        <v>0</v>
      </c>
      <c r="O55" s="45">
        <f>IFERROR(COUNTIF(F7:F53,"Completado")/COUNTA(E7:E53),0)</f>
        <v>0</v>
      </c>
    </row>
  </sheetData>
  <mergeCells count="5">
    <mergeCell ref="A2:P2"/>
    <mergeCell ref="A3:P3"/>
    <mergeCell ref="A4:P4"/>
    <mergeCell ref="A55:D55"/>
    <mergeCell ref="E55:H55"/>
  </mergeCells>
  <dataValidations count="1">
    <dataValidation type="list" allowBlank="1" sqref="I7 F9:F12 I14 F16:F19 I21 F23:F26 I28 F30:F33 I35 F37:F40 I42 F44:F47 I49 F51:F53" xr:uid="{00000000-0002-0000-0600-000000000000}">
      <formula1>"Pendiente,En Progreso,En Revisión,Completado,Bloqueado"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91F5E"/>
  </sheetPr>
  <dimension ref="A2:C32"/>
  <sheetViews>
    <sheetView showGridLines="0" topLeftCell="A20" zoomScaleNormal="100" workbookViewId="0"/>
  </sheetViews>
  <sheetFormatPr defaultColWidth="8.5703125" defaultRowHeight="14.45"/>
  <cols>
    <col min="1" max="1" width="3" customWidth="1"/>
    <col min="2" max="2" width="26" customWidth="1"/>
    <col min="3" max="3" width="58" customWidth="1"/>
  </cols>
  <sheetData>
    <row r="2" spans="1:3" ht="43.5" customHeight="1">
      <c r="A2" s="121" t="s">
        <v>381</v>
      </c>
      <c r="B2" s="121"/>
      <c r="C2" s="121"/>
    </row>
    <row r="4" spans="1:3" ht="25.5" customHeight="1">
      <c r="A4" s="119" t="s">
        <v>382</v>
      </c>
      <c r="B4" s="119"/>
      <c r="C4" s="119"/>
    </row>
    <row r="5" spans="1:3" ht="36" customHeight="1">
      <c r="B5" s="81" t="s">
        <v>383</v>
      </c>
      <c r="C5" s="54" t="s">
        <v>384</v>
      </c>
    </row>
    <row r="6" spans="1:3" ht="36" customHeight="1">
      <c r="B6" s="81" t="s">
        <v>385</v>
      </c>
      <c r="C6" s="54" t="s">
        <v>386</v>
      </c>
    </row>
    <row r="8" spans="1:3" ht="25.5" customHeight="1">
      <c r="A8" s="113" t="s">
        <v>387</v>
      </c>
      <c r="B8" s="113"/>
      <c r="C8" s="113"/>
    </row>
    <row r="9" spans="1:3" ht="36" customHeight="1">
      <c r="B9" s="81" t="s">
        <v>388</v>
      </c>
      <c r="C9" s="54" t="s">
        <v>389</v>
      </c>
    </row>
    <row r="10" spans="1:3" ht="36" customHeight="1">
      <c r="B10" s="81" t="s">
        <v>390</v>
      </c>
      <c r="C10" s="54" t="s">
        <v>391</v>
      </c>
    </row>
    <row r="11" spans="1:3" ht="36" customHeight="1">
      <c r="B11" s="81" t="s">
        <v>392</v>
      </c>
      <c r="C11" s="54" t="s">
        <v>393</v>
      </c>
    </row>
    <row r="13" spans="1:3" ht="25.5" customHeight="1">
      <c r="A13" s="106" t="s">
        <v>394</v>
      </c>
      <c r="B13" s="106"/>
      <c r="C13" s="106"/>
    </row>
    <row r="14" spans="1:3" ht="36" customHeight="1">
      <c r="B14" s="81" t="s">
        <v>395</v>
      </c>
      <c r="C14" s="54" t="s">
        <v>396</v>
      </c>
    </row>
    <row r="15" spans="1:3" ht="36" customHeight="1">
      <c r="B15" s="81" t="s">
        <v>397</v>
      </c>
      <c r="C15" s="54" t="s">
        <v>398</v>
      </c>
    </row>
    <row r="16" spans="1:3" ht="36" customHeight="1">
      <c r="B16" s="81" t="s">
        <v>399</v>
      </c>
      <c r="C16" s="54" t="s">
        <v>400</v>
      </c>
    </row>
    <row r="17" spans="1:3" ht="36" customHeight="1">
      <c r="B17" s="81" t="s">
        <v>401</v>
      </c>
      <c r="C17" s="54" t="s">
        <v>402</v>
      </c>
    </row>
    <row r="19" spans="1:3" ht="25.5" customHeight="1">
      <c r="A19" s="116" t="s">
        <v>403</v>
      </c>
      <c r="B19" s="116"/>
      <c r="C19" s="116"/>
    </row>
    <row r="20" spans="1:3" ht="36" customHeight="1">
      <c r="B20" s="81" t="s">
        <v>404</v>
      </c>
      <c r="C20" s="54" t="s">
        <v>405</v>
      </c>
    </row>
    <row r="21" spans="1:3" ht="36" customHeight="1">
      <c r="B21" s="81" t="s">
        <v>28</v>
      </c>
      <c r="C21" s="54" t="s">
        <v>406</v>
      </c>
    </row>
    <row r="22" spans="1:3" ht="36" customHeight="1">
      <c r="B22" s="81" t="s">
        <v>407</v>
      </c>
      <c r="C22" s="54" t="s">
        <v>408</v>
      </c>
    </row>
    <row r="23" spans="1:3" ht="36" customHeight="1">
      <c r="B23" s="81" t="s">
        <v>40</v>
      </c>
      <c r="C23" s="54" t="s">
        <v>409</v>
      </c>
    </row>
    <row r="25" spans="1:3" ht="25.5" customHeight="1">
      <c r="A25" s="119" t="s">
        <v>410</v>
      </c>
      <c r="B25" s="119"/>
      <c r="C25" s="119"/>
    </row>
    <row r="26" spans="1:3" ht="36" customHeight="1">
      <c r="B26" s="81" t="s">
        <v>411</v>
      </c>
      <c r="C26" s="54" t="s">
        <v>412</v>
      </c>
    </row>
    <row r="27" spans="1:3" ht="36" customHeight="1">
      <c r="B27" s="81" t="s">
        <v>5</v>
      </c>
      <c r="C27" s="54" t="s">
        <v>413</v>
      </c>
    </row>
    <row r="28" spans="1:3" ht="36" customHeight="1">
      <c r="B28" s="81" t="s">
        <v>107</v>
      </c>
      <c r="C28" s="54" t="s">
        <v>414</v>
      </c>
    </row>
    <row r="29" spans="1:3" ht="36" customHeight="1">
      <c r="B29" s="81" t="s">
        <v>45</v>
      </c>
      <c r="C29" s="54" t="s">
        <v>415</v>
      </c>
    </row>
    <row r="30" spans="1:3" ht="36" customHeight="1">
      <c r="B30" s="81" t="s">
        <v>416</v>
      </c>
      <c r="C30" s="54" t="s">
        <v>417</v>
      </c>
    </row>
    <row r="32" spans="1:3">
      <c r="A32" s="120" t="s">
        <v>418</v>
      </c>
      <c r="B32" s="120"/>
      <c r="C32" s="120"/>
    </row>
  </sheetData>
  <mergeCells count="7">
    <mergeCell ref="A25:C25"/>
    <mergeCell ref="A32:C32"/>
    <mergeCell ref="A2:C2"/>
    <mergeCell ref="A4:C4"/>
    <mergeCell ref="A8:C8"/>
    <mergeCell ref="A13:C13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2026-05-15T21:28:40Z</dcterms:created>
  <dcterms:modified xsi:type="dcterms:W3CDTF">2026-07-03T19:58:29Z</dcterms:modified>
  <cp:category/>
  <cp:contentStatus/>
</cp:coreProperties>
</file>