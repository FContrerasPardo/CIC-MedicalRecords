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IC-MedicalRecords\docs\"/>
    </mc:Choice>
  </mc:AlternateContent>
  <xr:revisionPtr revIDLastSave="0" documentId="11_F2D8731BBE2BCDC8E7A1BB62761F416ED61EA46B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📊 Dashboard" sheetId="1" r:id="rId1"/>
    <sheet name="E1 · Captura" sheetId="2" r:id="rId2"/>
    <sheet name="E2 · Validación IA" sheetId="3" r:id="rId3"/>
    <sheet name="E3 · Envío" sheetId="4" r:id="rId4"/>
    <sheet name="E4 · Glosas" sheetId="5" r:id="rId5"/>
    <sheet name="E5 · Apelación" sheetId="6" r:id="rId6"/>
    <sheet name="E6 · Pago y Cierre" sheetId="7" r:id="rId7"/>
    <sheet name="📋 Instruccione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49" i="7" l="1"/>
  <c r="P49" i="7" s="1"/>
  <c r="N49" i="7"/>
  <c r="S43" i="7"/>
  <c r="R43" i="7"/>
  <c r="O43" i="7"/>
  <c r="P43" i="7" s="1"/>
  <c r="N43" i="7"/>
  <c r="S37" i="7"/>
  <c r="R37" i="7"/>
  <c r="O37" i="7"/>
  <c r="P37" i="7" s="1"/>
  <c r="N37" i="7"/>
  <c r="S31" i="7"/>
  <c r="R31" i="7"/>
  <c r="O31" i="7"/>
  <c r="P31" i="7" s="1"/>
  <c r="N31" i="7"/>
  <c r="S25" i="7"/>
  <c r="R25" i="7"/>
  <c r="O25" i="7"/>
  <c r="P25" i="7" s="1"/>
  <c r="N25" i="7"/>
  <c r="S19" i="7"/>
  <c r="R19" i="7"/>
  <c r="O19" i="7"/>
  <c r="P19" i="7" s="1"/>
  <c r="N19" i="7"/>
  <c r="S13" i="7"/>
  <c r="R13" i="7"/>
  <c r="P13" i="7"/>
  <c r="O13" i="7"/>
  <c r="N13" i="7"/>
  <c r="S7" i="7"/>
  <c r="R7" i="7"/>
  <c r="O7" i="7"/>
  <c r="N7" i="7"/>
  <c r="P7" i="7" s="1"/>
  <c r="O42" i="6"/>
  <c r="P42" i="6" s="1"/>
  <c r="N42" i="6"/>
  <c r="S36" i="6"/>
  <c r="R36" i="6"/>
  <c r="O36" i="6"/>
  <c r="P36" i="6" s="1"/>
  <c r="N36" i="6"/>
  <c r="S30" i="6"/>
  <c r="R30" i="6"/>
  <c r="O30" i="6"/>
  <c r="P30" i="6" s="1"/>
  <c r="N30" i="6"/>
  <c r="S25" i="6"/>
  <c r="R25" i="6"/>
  <c r="O25" i="6"/>
  <c r="P25" i="6" s="1"/>
  <c r="N25" i="6"/>
  <c r="S19" i="6"/>
  <c r="R19" i="6"/>
  <c r="P19" i="6"/>
  <c r="O19" i="6"/>
  <c r="N19" i="6"/>
  <c r="S13" i="6"/>
  <c r="R13" i="6"/>
  <c r="O13" i="6"/>
  <c r="N13" i="6"/>
  <c r="P13" i="6" s="1"/>
  <c r="S7" i="6"/>
  <c r="R7" i="6"/>
  <c r="P7" i="6"/>
  <c r="O7" i="6"/>
  <c r="N7" i="6"/>
  <c r="O54" i="5"/>
  <c r="P54" i="5" s="1"/>
  <c r="N54" i="5"/>
  <c r="S47" i="5"/>
  <c r="R47" i="5"/>
  <c r="O47" i="5"/>
  <c r="P47" i="5" s="1"/>
  <c r="N47" i="5"/>
  <c r="S42" i="5"/>
  <c r="R42" i="5"/>
  <c r="O42" i="5"/>
  <c r="P42" i="5" s="1"/>
  <c r="N42" i="5"/>
  <c r="S37" i="5"/>
  <c r="R37" i="5"/>
  <c r="P37" i="5"/>
  <c r="O37" i="5"/>
  <c r="N37" i="5"/>
  <c r="S31" i="5"/>
  <c r="R31" i="5"/>
  <c r="O31" i="5"/>
  <c r="N31" i="5"/>
  <c r="P31" i="5" s="1"/>
  <c r="S25" i="5"/>
  <c r="R25" i="5"/>
  <c r="P25" i="5"/>
  <c r="O25" i="5"/>
  <c r="N25" i="5"/>
  <c r="S19" i="5"/>
  <c r="R19" i="5"/>
  <c r="P19" i="5"/>
  <c r="O19" i="5"/>
  <c r="N19" i="5"/>
  <c r="S13" i="5"/>
  <c r="R13" i="5"/>
  <c r="O13" i="5"/>
  <c r="P13" i="5" s="1"/>
  <c r="N13" i="5"/>
  <c r="S7" i="5"/>
  <c r="R7" i="5"/>
  <c r="P7" i="5"/>
  <c r="O7" i="5"/>
  <c r="N7" i="5"/>
  <c r="O44" i="4"/>
  <c r="P44" i="4" s="1"/>
  <c r="N44" i="4"/>
  <c r="S37" i="4"/>
  <c r="R37" i="4"/>
  <c r="O37" i="4"/>
  <c r="N37" i="4"/>
  <c r="P37" i="4" s="1"/>
  <c r="S31" i="4"/>
  <c r="R31" i="4"/>
  <c r="O31" i="4"/>
  <c r="P31" i="4" s="1"/>
  <c r="N31" i="4"/>
  <c r="S25" i="4"/>
  <c r="R25" i="4"/>
  <c r="P25" i="4"/>
  <c r="O25" i="4"/>
  <c r="N25" i="4"/>
  <c r="S19" i="4"/>
  <c r="R19" i="4"/>
  <c r="O19" i="4"/>
  <c r="P19" i="4" s="1"/>
  <c r="N19" i="4"/>
  <c r="S13" i="4"/>
  <c r="R13" i="4"/>
  <c r="P13" i="4"/>
  <c r="O13" i="4"/>
  <c r="N13" i="4"/>
  <c r="S7" i="4"/>
  <c r="R7" i="4"/>
  <c r="O7" i="4"/>
  <c r="N7" i="4"/>
  <c r="P7" i="4" s="1"/>
  <c r="O55" i="3"/>
  <c r="N55" i="3"/>
  <c r="P55" i="3" s="1"/>
  <c r="S48" i="3"/>
  <c r="R48" i="3"/>
  <c r="O48" i="3"/>
  <c r="P48" i="3" s="1"/>
  <c r="N48" i="3"/>
  <c r="S42" i="3"/>
  <c r="R42" i="3"/>
  <c r="P42" i="3"/>
  <c r="O42" i="3"/>
  <c r="N42" i="3"/>
  <c r="S34" i="3"/>
  <c r="R34" i="3"/>
  <c r="O34" i="3"/>
  <c r="P34" i="3" s="1"/>
  <c r="N34" i="3"/>
  <c r="S28" i="3"/>
  <c r="R28" i="3"/>
  <c r="P28" i="3"/>
  <c r="O28" i="3"/>
  <c r="N28" i="3"/>
  <c r="S21" i="3"/>
  <c r="R21" i="3"/>
  <c r="O21" i="3"/>
  <c r="N21" i="3"/>
  <c r="P21" i="3" s="1"/>
  <c r="S14" i="3"/>
  <c r="R14" i="3"/>
  <c r="P14" i="3"/>
  <c r="O14" i="3"/>
  <c r="N14" i="3"/>
  <c r="S7" i="3"/>
  <c r="R7" i="3"/>
  <c r="O7" i="3"/>
  <c r="N7" i="3"/>
  <c r="P7" i="3" s="1"/>
  <c r="P81" i="2"/>
  <c r="O81" i="2"/>
  <c r="N81" i="2"/>
  <c r="S74" i="2"/>
  <c r="R74" i="2"/>
  <c r="O74" i="2"/>
  <c r="P74" i="2" s="1"/>
  <c r="N74" i="2"/>
  <c r="S68" i="2"/>
  <c r="R68" i="2"/>
  <c r="P68" i="2"/>
  <c r="O68" i="2"/>
  <c r="N68" i="2"/>
  <c r="S61" i="2"/>
  <c r="R61" i="2"/>
  <c r="O61" i="2"/>
  <c r="P61" i="2" s="1"/>
  <c r="N61" i="2"/>
  <c r="S56" i="2"/>
  <c r="R56" i="2"/>
  <c r="P56" i="2"/>
  <c r="O56" i="2"/>
  <c r="N56" i="2"/>
  <c r="S48" i="2"/>
  <c r="R48" i="2"/>
  <c r="O48" i="2"/>
  <c r="P48" i="2" s="1"/>
  <c r="N48" i="2"/>
  <c r="S42" i="2"/>
  <c r="R42" i="2"/>
  <c r="O42" i="2"/>
  <c r="P42" i="2" s="1"/>
  <c r="N42" i="2"/>
  <c r="S35" i="2"/>
  <c r="R35" i="2"/>
  <c r="O35" i="2"/>
  <c r="P35" i="2" s="1"/>
  <c r="N35" i="2"/>
  <c r="S29" i="2"/>
  <c r="R29" i="2"/>
  <c r="O29" i="2"/>
  <c r="P29" i="2" s="1"/>
  <c r="N29" i="2"/>
  <c r="S23" i="2"/>
  <c r="R23" i="2"/>
  <c r="P23" i="2"/>
  <c r="O23" i="2"/>
  <c r="N23" i="2"/>
  <c r="S16" i="2"/>
  <c r="R16" i="2"/>
  <c r="O16" i="2"/>
  <c r="P16" i="2" s="1"/>
  <c r="N16" i="2"/>
  <c r="S7" i="2"/>
  <c r="R7" i="2"/>
  <c r="O7" i="2"/>
  <c r="P7" i="2" s="1"/>
  <c r="N7" i="2"/>
  <c r="G22" i="1"/>
  <c r="F22" i="1"/>
  <c r="E22" i="1"/>
  <c r="H22" i="1" s="1"/>
  <c r="D22" i="1"/>
  <c r="C22" i="1"/>
  <c r="G21" i="1"/>
  <c r="F21" i="1"/>
  <c r="E21" i="1"/>
  <c r="H21" i="1" s="1"/>
  <c r="D21" i="1"/>
  <c r="C21" i="1"/>
  <c r="G20" i="1"/>
  <c r="F20" i="1"/>
  <c r="E20" i="1"/>
  <c r="H20" i="1" s="1"/>
  <c r="B24" i="1" s="1"/>
  <c r="D20" i="1"/>
  <c r="C20" i="1"/>
  <c r="H16" i="1"/>
  <c r="G16" i="1"/>
  <c r="F16" i="1"/>
  <c r="E16" i="1"/>
  <c r="I16" i="1" s="1"/>
  <c r="D16" i="1"/>
  <c r="C16" i="1"/>
  <c r="H15" i="1"/>
  <c r="G15" i="1"/>
  <c r="F15" i="1"/>
  <c r="E15" i="1"/>
  <c r="I15" i="1" s="1"/>
  <c r="D15" i="1"/>
  <c r="C15" i="1"/>
  <c r="H14" i="1"/>
  <c r="G14" i="1"/>
  <c r="F14" i="1"/>
  <c r="E14" i="1"/>
  <c r="I14" i="1" s="1"/>
  <c r="D14" i="1"/>
  <c r="C14" i="1"/>
  <c r="H13" i="1"/>
  <c r="G13" i="1"/>
  <c r="F13" i="1"/>
  <c r="E13" i="1"/>
  <c r="I13" i="1" s="1"/>
  <c r="D13" i="1"/>
  <c r="C13" i="1"/>
  <c r="H12" i="1"/>
  <c r="G12" i="1"/>
  <c r="F12" i="1"/>
  <c r="E12" i="1"/>
  <c r="I12" i="1" s="1"/>
  <c r="D12" i="1"/>
  <c r="C12" i="1"/>
  <c r="H11" i="1"/>
  <c r="G11" i="1"/>
  <c r="F11" i="1"/>
  <c r="E11" i="1"/>
  <c r="I11" i="1" s="1"/>
  <c r="D11" i="1"/>
  <c r="C11" i="1"/>
  <c r="H10" i="1"/>
  <c r="G10" i="1"/>
  <c r="F10" i="1"/>
  <c r="E10" i="1"/>
  <c r="I10" i="1" s="1"/>
  <c r="D10" i="1"/>
  <c r="C10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<sst xmlns="http://schemas.openxmlformats.org/spreadsheetml/2006/main" count="1598" uniqueCount="480">
  <si>
    <t>HYLAND  —  Cuentas Médicas para Prestadores de Servicios</t>
  </si>
  <si>
    <t>Tracker de Epics · Realineado a la demostración final · Actualizado 2026-07-03</t>
  </si>
  <si>
    <t>Epics</t>
  </si>
  <si>
    <t>Subtareas</t>
  </si>
  <si>
    <t>Completadas</t>
  </si>
  <si>
    <t>En Progreso</t>
  </si>
  <si>
    <t>Pendientes</t>
  </si>
  <si>
    <t>Bloqueadas</t>
  </si>
  <si>
    <t>Etapa</t>
  </si>
  <si>
    <t>% Avance</t>
  </si>
  <si>
    <t>E1 — Captura y Estructuración del Evento Clínico</t>
  </si>
  <si>
    <t>E2 — Validación Previa con Agente IA</t>
  </si>
  <si>
    <t>E3 — Armado y Envío de la Cuenta</t>
  </si>
  <si>
    <t>E4 — Recepción y Gestión de Glosas</t>
  </si>
  <si>
    <t>E5 — Respuesta y Apelación de Glosas</t>
  </si>
  <si>
    <t>E6 — Seguimiento de Pago, Conciliación y Cierre</t>
  </si>
  <si>
    <t>TOTAL GENERAL</t>
  </si>
  <si>
    <t>Avance por Fase</t>
  </si>
  <si>
    <t>Fase</t>
  </si>
  <si>
    <t>Demo</t>
  </si>
  <si>
    <t>Fase 2</t>
  </si>
  <si>
    <t>Fase 3</t>
  </si>
  <si>
    <t>HYLAND   |   Cuentas Médicas — Prestadores de Servicios</t>
  </si>
  <si>
    <t>Etapa 1 — Captura y Estructuración del Evento Clínico</t>
  </si>
  <si>
    <t>El proceso inicia con la atención al paciente. Se consolidan documentos heterogéneos en un expediente digital estructurado. Incluye la base de la demo: IDP, plugin/overview, intake y el reporting dashboard.</t>
  </si>
  <si>
    <t>☑</t>
  </si>
  <si>
    <t>Epic ID</t>
  </si>
  <si>
    <t>Nombre del Epic</t>
  </si>
  <si>
    <t>Descripción</t>
  </si>
  <si>
    <t>Módulo Hyland</t>
  </si>
  <si>
    <t>Prioridad</t>
  </si>
  <si>
    <t>Status</t>
  </si>
  <si>
    <t>Responsable</t>
  </si>
  <si>
    <t>Fecha Inicio</t>
  </si>
  <si>
    <t>Fecha Límite</t>
  </si>
  <si>
    <t>Subt.</t>
  </si>
  <si>
    <t>Compl.</t>
  </si>
  <si>
    <t>Comentarios / Bloqueantes</t>
  </si>
  <si>
    <t>E1-001</t>
  </si>
  <si>
    <t>Captura multicanal de documentos</t>
  </si>
  <si>
    <t>Ingesta de documentos desde múltiples canales. En la demo el proceso inicia cargando un documento; los demás conectores quedan para fases posteriores.</t>
  </si>
  <si>
    <t>IDP</t>
  </si>
  <si>
    <t>CRÍTICA</t>
  </si>
  <si>
    <t>Fernando / Mau</t>
  </si>
  <si>
    <t>Etapa 0 del spec: upload operativo. Conectores adicionales post-demo.</t>
  </si>
  <si>
    <t>↳ Epic</t>
  </si>
  <si>
    <t>Subtarea</t>
  </si>
  <si>
    <t>Comentarios</t>
  </si>
  <si>
    <t>Configurar upload para iniciar proceso en Automate</t>
  </si>
  <si>
    <t>Completado</t>
  </si>
  <si>
    <t>Fernando</t>
  </si>
  <si>
    <t>Interfaz Custom UI; el documento inicia el proceso y alimenta IDP</t>
  </si>
  <si>
    <t>Integración de códigos CUPS (JSON simulado / API)</t>
  </si>
  <si>
    <t>Mauricio</t>
  </si>
  <si>
    <t>Fase 1: JSON simula API. Trigger vía Postman en fase posterior</t>
  </si>
  <si>
    <t>Configurar conector de escáner de red</t>
  </si>
  <si>
    <t>Larissa</t>
  </si>
  <si>
    <t>Web Scanning pendiente; posible video en demo — fase posterior</t>
  </si>
  <si>
    <t>Configurar conector de email (IMAP/SMTP)</t>
  </si>
  <si>
    <t>Integración Outlook — fase posterior</t>
  </si>
  <si>
    <t>Pruebas de ingesta multicanal (WhatsApp)</t>
  </si>
  <si>
    <t>Pendiente</t>
  </si>
  <si>
    <t>Trigger WhatsApp — fase posterior</t>
  </si>
  <si>
    <t>Pruebas de ingesta multicanal (SharePoint)</t>
  </si>
  <si>
    <t>SharePoint si es posible — fase posterior</t>
  </si>
  <si>
    <t>Configurar integración HIS (HL7/FHIR)</t>
  </si>
  <si>
    <t>N/A</t>
  </si>
  <si>
    <t>Fase posterior</t>
  </si>
  <si>
    <t>E1-002</t>
  </si>
  <si>
    <t>Clasificación automática de documentos</t>
  </si>
  <si>
    <t>IDP identifica el tipo de documento sin configuración manual (spec Etapa 1). Basado en POC ARS Primera.</t>
  </si>
  <si>
    <t>Definir taxonomía de tipos de documento para la demo</t>
  </si>
  <si>
    <t>Muestras ARS Primera; falta acotar y recolectar el set final</t>
  </si>
  <si>
    <t>Entrenar modelo de clasificación IDP</t>
  </si>
  <si>
    <t>Subclasificación de clases heredadas</t>
  </si>
  <si>
    <t>Validar precisión (umbral ≥ 90%) con lote de demo</t>
  </si>
  <si>
    <t>Configurar reglas de excepción</t>
  </si>
  <si>
    <t>E1-003</t>
  </si>
  <si>
    <t>Extracción de campos clave</t>
  </si>
  <si>
    <t>Extrae diagnósticos CIE-10, procedimientos CUPS, medicamentos, fechas, valores y tablas (spec Etapa 1).</t>
  </si>
  <si>
    <t>Mapear campos requeridos por aseguradora</t>
  </si>
  <si>
    <t>Configurar extracción de valores y fechas</t>
  </si>
  <si>
    <t>Configurar extracción de tablas (factura / desglose)</t>
  </si>
  <si>
    <t>Alimenta batchState y Service Explorer</t>
  </si>
  <si>
    <t>Agrupación documental por cuenta / paciente / factura</t>
  </si>
  <si>
    <t>Prepara batchState para intake</t>
  </si>
  <si>
    <t>E1-004</t>
  </si>
  <si>
    <t>IDP Fase 1 — Documentos de demostración ARS Primera</t>
  </si>
  <si>
    <t>Set documental y tipologías de la demo basados en ARS Primera. Documentos y tipologías EN VALIDACIÓN.</t>
  </si>
  <si>
    <t>Larissa / Fernando</t>
  </si>
  <si>
    <t>Estos documentos y tipologías están en validación con el equipo.</t>
  </si>
  <si>
    <t>Recolectar muestras documentales ARS Primera</t>
  </si>
  <si>
    <t>En validación</t>
  </si>
  <si>
    <t>Validar tipologías: Factura y Desglose, Autorización, Objeciones Auditoría, Patología, Laboratorios</t>
  </si>
  <si>
    <t>Confirmar campos extraídos por tipología</t>
  </si>
  <si>
    <t>Aprobar set final de documentos para la demo</t>
  </si>
  <si>
    <t>E1-005</t>
  </si>
  <si>
    <t>Creación del expediente / estado del lote (batchState)</t>
  </si>
  <si>
    <t>batchState consolida documentos y servicios del evento y alimenta el intake (spec Etapa 1). Falta estructura interna de carpetas por paciente.</t>
  </si>
  <si>
    <t>ECM / CIC</t>
  </si>
  <si>
    <t>Construir batchState (objeto / JSON) para intake</t>
  </si>
  <si>
    <t>Entrada principal de intake-account-widget</t>
  </si>
  <si>
    <t>Diseñar modelo de objeto del expediente en CIC</t>
  </si>
  <si>
    <t>Estructura de carpetas por paciente pendiente</t>
  </si>
  <si>
    <t>Vinculación automática por ID de paciente</t>
  </si>
  <si>
    <t>Definir Content Types / Schemas y reglas de agrupación</t>
  </si>
  <si>
    <t>Validación de acceso por roles</t>
  </si>
  <si>
    <t>E1-006</t>
  </si>
  <si>
    <t>Plugin medical-records — Overview / Shell operacional</t>
  </si>
  <si>
    <t>Punto de entrada: overview de Cuentas Médicas dentro del shell nativo; redirige a las tareas activas de Automate. No es la fuente de verdad de las etapas.</t>
  </si>
  <si>
    <t>Custom UI (Angular/Nx)</t>
  </si>
  <si>
    <t>Preservar shell nativo Hyland e integrar plugin</t>
  </si>
  <si>
    <t>Overview operacional sin navegación por etapas</t>
  </si>
  <si>
    <t>Ajuste final de pantalla principal pendiente</t>
  </si>
  <si>
    <t>Abrir / redirigir a tareas activas de Automate</t>
  </si>
  <si>
    <t>Retirar rutas visuales por fase (referencia Stitch)</t>
  </si>
  <si>
    <t>Quedan como referencia visual, no funcional</t>
  </si>
  <si>
    <t>E1-007</t>
  </si>
  <si>
    <t>Intake — Nueva Cuenta (intake-account-widget)</t>
  </si>
  <si>
    <t>Vista operacional de la cuenta en la tarea Nueva Cuenta: lee batchState y presenta servicios, documentos y readiness (spec Etapa 2).</t>
  </si>
  <si>
    <t>Custom UI</t>
  </si>
  <si>
    <t>Leer batchState (objeto o string JSON)</t>
  </si>
  <si>
    <t>Estado de error amigable si no parsea</t>
  </si>
  <si>
    <t>Service Explorer (servicios facturados y soportes)</t>
  </si>
  <si>
    <t>CUPS, completitud, soportes faltantes, confianza</t>
  </si>
  <si>
    <t>Document Control Center (clasificación / extracción)</t>
  </si>
  <si>
    <t>classificationStatus, extractionStatus, highlights</t>
  </si>
  <si>
    <t>Readiness consolidada (readyForAnalysis)</t>
  </si>
  <si>
    <t>Heurísticas locales v1</t>
  </si>
  <si>
    <t>Selector de paciente y banner de reconciliación OCR</t>
  </si>
  <si>
    <t>Agrupa variantes OCR del mismo paciente</t>
  </si>
  <si>
    <t>Persistir interacciones en variables de Automate</t>
  </si>
  <si>
    <t>Fase posterior: el widget aún no escribe de vuelta</t>
  </si>
  <si>
    <t>E1-008</t>
  </si>
  <si>
    <t>Reejecución IDP opcional (loop de enriquecimiento)</t>
  </si>
  <si>
    <t>Al completar Nueva Cuenta, reejecuta IDP si se agregan documentos o continúa a la malla agéntica (spec Etapa 3).</t>
  </si>
  <si>
    <t>Automate + IDP</t>
  </si>
  <si>
    <t>MEDIA</t>
  </si>
  <si>
    <t>Configurar bifurcación post-intake en Automate</t>
  </si>
  <si>
    <t>Reprocesar documentos y actualizar batchState</t>
  </si>
  <si>
    <t>Validar retorno a Nueva Cuenta o avance a agentes</t>
  </si>
  <si>
    <t>E1-009</t>
  </si>
  <si>
    <t>Reporting Dashboard configurable (overview)</t>
  </si>
  <si>
    <t>Tablero configurable del plugin: Indicadores, Métricas y Tareas abiertas, con builder de widgets y data bindings estilo OnBase.</t>
  </si>
  <si>
    <t>Layout de secciones: Indicadores / Métricas / Tareas abiertas</t>
  </si>
  <si>
    <t>layout v4</t>
  </si>
  <si>
    <t>Widget Open Tasks (tareas reales desde Automate)</t>
  </si>
  <si>
    <t>MedicalRecordsTaskQueryService</t>
  </si>
  <si>
    <t>Builder metric / chart / table con Detect fields</t>
  </si>
  <si>
    <t>Data providers: content / process / demo</t>
  </si>
  <si>
    <t>Data bindings estilo OnBase (arguments / values / series / columns)</t>
  </si>
  <si>
    <t>Persistencia de layout</t>
  </si>
  <si>
    <t>localStorage medical-records.dashboard.layout.v4</t>
  </si>
  <si>
    <t>E1-010</t>
  </si>
  <si>
    <t>Enriquecimiento de imágenes médicas</t>
  </si>
  <si>
    <t>Indexa RX, ecografías y fotografías con metadatos clínicos e integración Nilread. No incluido en la demo.</t>
  </si>
  <si>
    <t>Knowledge Enrichment</t>
  </si>
  <si>
    <t>Mau / Lari</t>
  </si>
  <si>
    <t>Definir metadatos clínicos a indexar</t>
  </si>
  <si>
    <t>Configurar pipeline de Knowledge Enrichment</t>
  </si>
  <si>
    <t>Post-demo</t>
  </si>
  <si>
    <t>Integrar con Nilread</t>
  </si>
  <si>
    <t>Post-demo: interfaz de Nilread</t>
  </si>
  <si>
    <t>Crear agente KD para búsqueda semántica de imágenes</t>
  </si>
  <si>
    <t>a definir</t>
  </si>
  <si>
    <t>E1-011</t>
  </si>
  <si>
    <t>Integración con sistemas HIS</t>
  </si>
  <si>
    <t>Sincronización bidireccional con sistemas clínicos del prestador. Fuera del alcance de la demo.</t>
  </si>
  <si>
    <t>ECM / Automate</t>
  </si>
  <si>
    <t>Relevamiento de APIs disponibles en HIS del cliente</t>
  </si>
  <si>
    <t>Desarrollar conector de integración</t>
  </si>
  <si>
    <t>Pruebas de sincronización bidireccional</t>
  </si>
  <si>
    <t>Validación en entorno de producción</t>
  </si>
  <si>
    <t>Resumen de Etapa</t>
  </si>
  <si>
    <t>Etapa 2 — Validación Previa con Agente IA</t>
  </si>
  <si>
    <t>Antes de enviar la cuenta, la malla agéntica (Coding Integrity, Compliance Alert, Financial Variance sobre Claude Haiku) analiza el expediente; el script consolida los resultados y la consola de Análisis los presenta como consola de decisión.</t>
  </si>
  <si>
    <t>E2-001</t>
  </si>
  <si>
    <t>Agente Coding Integrity</t>
  </si>
  <si>
    <t>Valida consistencia procedimiento-diagnóstico-código, detecta duplicados y soporte diagnóstico faltante. Outcome codingIntegrityResult.</t>
  </si>
  <si>
    <t>Agent Builder (Claude Haiku)</t>
  </si>
  <si>
    <t>Key coding-integrity-age-tkfvy. Errores parciales de Agent Builder.</t>
  </si>
  <si>
    <t>Configurar Agent Builder (coding-integrity-age-tkfvy)</t>
  </si>
  <si>
    <t>Inputs: batchState, codingRules, payerCodingPolicy</t>
  </si>
  <si>
    <t>Mapear reglas de codificación (codingRules / payerCodingPolicy)</t>
  </si>
  <si>
    <t>Marcar outcome codingIntegrityResult como Required</t>
  </si>
  <si>
    <t>Si no, Automate avanza con tools o valor vacío</t>
  </si>
  <si>
    <t>Validar findings / recommendedActions / overallRiskLevel</t>
  </si>
  <si>
    <t>Prueba manual: outcome trae JSON no vacío (event log)</t>
  </si>
  <si>
    <t>E2-002</t>
  </si>
  <si>
    <t>Agente Compliance Alert</t>
  </si>
  <si>
    <t>Valida completitud documental, autorizaciones y soportes; detecta documentos faltantes y servicios bloqueados. Outcome complianceAlertResult.</t>
  </si>
  <si>
    <t>Key compliance-alert-age-4x5t2.</t>
  </si>
  <si>
    <t>Configurar Agent Builder (compliance-alert-age-4x5t2)</t>
  </si>
  <si>
    <t>Inputs: batchState, payerCompliancePolicy</t>
  </si>
  <si>
    <t>Configurar detección de missingDocuments</t>
  </si>
  <si>
    <t>Se presenta en Custom UI</t>
  </si>
  <si>
    <t>Marcar outcome complianceAlertResult como Required</t>
  </si>
  <si>
    <t>Validar autorizaciones y servicios bloqueados</t>
  </si>
  <si>
    <t>Integrar Knowledge Discovery para documentos exigidos</t>
  </si>
  <si>
    <t>Fase posterior: KD no integrado aún</t>
  </si>
  <si>
    <t>E2-003</t>
  </si>
  <si>
    <t>Agente Financial Variance</t>
  </si>
  <si>
    <t>Compara valores facturados contra tarifas esperadas, revisa montos autorizados y calcula variancias. Outcome financialVarianceResult.</t>
  </si>
  <si>
    <t>Key finantial-v3-znvmy.</t>
  </si>
  <si>
    <t>Configurar Agent Builder (finantial-v3-znvmy)</t>
  </si>
  <si>
    <t>Inputs: batchState (slim), tariffAgreement</t>
  </si>
  <si>
    <t>Cargar tarifarios / tariffAgreement</t>
  </si>
  <si>
    <t>Configurar comparación de montos y tolerancia</t>
  </si>
  <si>
    <t>Marcar outcome financialVarianceResult como Required</t>
  </si>
  <si>
    <t>Pruebas con cuentas de distintas aseguradoras</t>
  </si>
  <si>
    <t>Solo se cuenta con la cuenta de ARS Primera</t>
  </si>
  <si>
    <t>E2-004</t>
  </si>
  <si>
    <t>Consolidación de resultados (Script Automate)</t>
  </si>
  <si>
    <t>BuildIncrementalUnifiedWidgetPayload une los outcomes de agentes en un envelope genérico. Salida unifiedWidgetPayloadText (spec Etapa 5).</t>
  </si>
  <si>
    <t>Automate (Script)</t>
  </si>
  <si>
    <t>Mapear json1..json3 (agentes) + json4 (batchState)</t>
  </si>
  <si>
    <t>Generar unifiedWidgetPayload / unifiedWidgetPayloadText</t>
  </si>
  <si>
    <t>Manejo de errores y warnings (input vacío / inválido)</t>
  </si>
  <si>
    <t>No borra resultados previos</t>
  </si>
  <si>
    <t>Parseo profundo de JSON doblemente encodeado</t>
  </si>
  <si>
    <t>E2-005</t>
  </si>
  <si>
    <t>Consola de Análisis (analysis-task-widget)</t>
  </si>
  <si>
    <t>Tarea Analysis: consola de decisión con score de riesgo de glosa, tarjetas de los 3 agentes, billed items y acciones (spec Etapa 6). Mapea unifiedWidgetPayloadText.</t>
  </si>
  <si>
    <t>Resolver envelope y tarjetas de los 3 agentes</t>
  </si>
  <si>
    <t>Key directa / agents / slotName / fallback por tokens</t>
  </si>
  <si>
    <t>Score de riesgo de glosa y métricas visuales</t>
  </si>
  <si>
    <t>Inconsistencies, Missing Docs, Tariff Deviations</t>
  </si>
  <si>
    <t>Tabla de Billed Items (unión por serviceCode / procedureCode)</t>
  </si>
  <si>
    <t>Gating de Approve Proceed</t>
  </si>
  <si>
    <t>Bloquea si falta agente, JSON inválido o requiere revisión manual</t>
  </si>
  <si>
    <t>Estados Pending / Invalid agent JSON / parciales</t>
  </si>
  <si>
    <t>Acciones (Update CUPS, Request Authorization, etc.)</t>
  </si>
  <si>
    <t>Fase posterior: visuales, no mutan variables en v1</t>
  </si>
  <si>
    <t>E2-006</t>
  </si>
  <si>
    <t>Flujo de corrección para el equipo de facturación</t>
  </si>
  <si>
    <t>Convertir los hallazgos en tareas asignables antes de que la cuenta salga. Los widgets aún no mutan variables (v1).</t>
  </si>
  <si>
    <t>Automate + Case Mgmt</t>
  </si>
  <si>
    <t>Creación automática de tareas en Automate</t>
  </si>
  <si>
    <t>Definir asignación por tipo de hallazgo</t>
  </si>
  <si>
    <t>Configurar notificaciones al equipo (trigger WhatsApp)</t>
  </si>
  <si>
    <t>Pruebas de flujo de corrección completo</t>
  </si>
  <si>
    <t>E2-007</t>
  </si>
  <si>
    <t>Aprendizaje de patrones históricos de glosa (KD)</t>
  </si>
  <si>
    <t>El agente consulta el historial de glosas (≥12 meses) para anticipar objeciones recurrentes. No en la demo.</t>
  </si>
  <si>
    <t>Knowledge Discovery</t>
  </si>
  <si>
    <t>Cargar histórico de glosas del cliente (≥12 meses)</t>
  </si>
  <si>
    <t>Indexar patrones por aseguradora y código</t>
  </si>
  <si>
    <t>Validar consulta de precedentes desde el agente</t>
  </si>
  <si>
    <t>Medir mejora de precisión con datos históricos</t>
  </si>
  <si>
    <t>Etapa 3 — Armado y Envío de la Cuenta</t>
  </si>
  <si>
    <t>Post-demo (spec Etapa 7-8): arma el paquete en el formato de cada aseguradora y lo envía de forma trazable. No incluido en la demo actual.</t>
  </si>
  <si>
    <t>E3-001</t>
  </si>
  <si>
    <t>Generación de RIPS automática</t>
  </si>
  <si>
    <t>Arma el archivo RIPS en el formato requerido a partir del expediente estructurado (spec Etapa 7).</t>
  </si>
  <si>
    <t>Automate + ECM</t>
  </si>
  <si>
    <t>Post-demo (spec)</t>
  </si>
  <si>
    <t>Mapear campos del expediente al estándar RIPS</t>
  </si>
  <si>
    <t>Configurar generación de archivo RIPS en Automate</t>
  </si>
  <si>
    <t>Validar RIPS con validador oficial</t>
  </si>
  <si>
    <t>Pruebas con múltiples tipos de evento</t>
  </si>
  <si>
    <t>E3-002</t>
  </si>
  <si>
    <t>Soporte multi-formato de envío</t>
  </si>
  <si>
    <t>Adapta el paquete a XML FHIR, EDI, RIPS o formato propietario según el convenio.</t>
  </si>
  <si>
    <t>Automate</t>
  </si>
  <si>
    <t>Catalogar formatos requeridos por cada aseguradora</t>
  </si>
  <si>
    <t>Configurar transformadores de formato en Automate</t>
  </si>
  <si>
    <t>Pruebas de generación por formato</t>
  </si>
  <si>
    <t>Validación con aseguradoras del cliente</t>
  </si>
  <si>
    <t>E3-003</t>
  </si>
  <si>
    <t>Registro de trazabilidad de envío</t>
  </si>
  <si>
    <t>Guarda fecha, hora, canal, destinatario y número de radicado como evidencia legal.</t>
  </si>
  <si>
    <t>ECM</t>
  </si>
  <si>
    <t>Definir campos de metadatos de trazabilidad</t>
  </si>
  <si>
    <t>Configurar escritura automática de log en ECM</t>
  </si>
  <si>
    <t>Validar inmutabilidad del registro</t>
  </si>
  <si>
    <t>Pruebas de auditoría</t>
  </si>
  <si>
    <t>E3-004</t>
  </si>
  <si>
    <t>Gestión de portales de aseguradoras (RPA)</t>
  </si>
  <si>
    <t>Automatiza login y subida de documentos a portales web sin API mediante RPA.</t>
  </si>
  <si>
    <t>Automate (RPA)</t>
  </si>
  <si>
    <t>Inventariar portales de aseguradoras del cliente</t>
  </si>
  <si>
    <t>Desarrollar bots RPA por portal</t>
  </si>
  <si>
    <t>Pruebas de estabilidad de bots</t>
  </si>
  <si>
    <t>Definir mantenimiento ante cambios de interfaz</t>
  </si>
  <si>
    <t>E3-005</t>
  </si>
  <si>
    <t>Panel de seguimiento de envíos</t>
  </si>
  <si>
    <t>Dashboard con estado de todas las cuentas enviadas. Puede consolidarse con el Reporting Dashboard (E1-009).</t>
  </si>
  <si>
    <t>Definir KPIs del panel con el cliente</t>
  </si>
  <si>
    <t>Configurar vistas en ECM/CIC</t>
  </si>
  <si>
    <t>Pruebas de actualización en tiempo real</t>
  </si>
  <si>
    <t>Capacitación al equipo de facturación</t>
  </si>
  <si>
    <t>E3-006</t>
  </si>
  <si>
    <t>Gestión de reenvíos por rechazo técnico</t>
  </si>
  <si>
    <t>Si la aseguradora rechaza el envío, el sistema corrige y reenvía automáticamente.</t>
  </si>
  <si>
    <t>Mapear tipos de rechazo técnico por aseguradora</t>
  </si>
  <si>
    <t>Configurar lógica de autocorrección en Automate</t>
  </si>
  <si>
    <t>Definir límite de reintentos y escalación</t>
  </si>
  <si>
    <t>Pruebas de escenarios de rechazo</t>
  </si>
  <si>
    <t>Etapa 4 — Recepción y Gestión de Glosas</t>
  </si>
  <si>
    <t>Post-demo (spec Etapa 8): recepción de glosas, apertura de caso e inteligencia histórica para decidir aceptar o apelar. No incluido en la demo actual.</t>
  </si>
  <si>
    <t>E4-001</t>
  </si>
  <si>
    <t>Recepción automática de respuestas de glosa</t>
  </si>
  <si>
    <t>Captura la respuesta de la aseguradora y la vincula al expediente original (spec Etapa 8).</t>
  </si>
  <si>
    <t>IDP + Automate</t>
  </si>
  <si>
    <t>Configurar captura de glosas por email</t>
  </si>
  <si>
    <t>Configurar captura de glosas por portal</t>
  </si>
  <si>
    <t>Configurar captura por EDI</t>
  </si>
  <si>
    <t>Validar vinculación automática al expediente</t>
  </si>
  <si>
    <t>E4-002</t>
  </si>
  <si>
    <t>Apertura automática de caso de glosa</t>
  </si>
  <si>
    <t>Cada glosa genera un caso en Case Management asignado al auditor responsable.</t>
  </si>
  <si>
    <t>Case Management</t>
  </si>
  <si>
    <t>Configurar template de caso de glosa</t>
  </si>
  <si>
    <t>Definir reglas de asignación automática</t>
  </si>
  <si>
    <t>Configurar notificación al auditor responsable</t>
  </si>
  <si>
    <t>Pruebas de apertura automática end-to-end</t>
  </si>
  <si>
    <t>E4-003</t>
  </si>
  <si>
    <t>Análisis de recurrencia con Knowledge Discovery</t>
  </si>
  <si>
    <t>Muestra si la misma glosa se ha recibido antes y cuál fue el resultado al apelar.</t>
  </si>
  <si>
    <t>Configurar indexación de glosas por código y aseguradora</t>
  </si>
  <si>
    <t>Configurar panel de recurrencia en el caso</t>
  </si>
  <si>
    <t>Calcular tasa histórica de éxito en apelación</t>
  </si>
  <si>
    <t>Validar con auditor de referencia del cliente</t>
  </si>
  <si>
    <t>E4-004</t>
  </si>
  <si>
    <t>Dashboard de glosas por aseguradora y código</t>
  </si>
  <si>
    <t>Visualización agregada de glosas por aseguradora, tipo y valor objetado.</t>
  </si>
  <si>
    <t>Definir dimensiones de análisis con el cliente</t>
  </si>
  <si>
    <t>Configurar dashboard en ECM/CIC</t>
  </si>
  <si>
    <t>Configurar actualización automática</t>
  </si>
  <si>
    <t>Capacitación a gerencia de facturación</t>
  </si>
  <si>
    <t>E4-005</t>
  </si>
  <si>
    <t>Alertas de vencimiento de plazo de respuesta</t>
  </si>
  <si>
    <t>Notificaciones automáticas cuando se acerca el plazo legal para responder.</t>
  </si>
  <si>
    <t>Mapear plazos legales por aseguradora y país</t>
  </si>
  <si>
    <t>Configurar cálculo de fecha límite en Automate</t>
  </si>
  <si>
    <t>Configurar alertas T-5, T-2 y T-0 días</t>
  </si>
  <si>
    <t>Pruebas de escalación ante inacción</t>
  </si>
  <si>
    <t>E4-006</t>
  </si>
  <si>
    <t>Clasificación de glosas por tipo</t>
  </si>
  <si>
    <t>Categoriza la glosa: técnica, administrativa, documental o de cobertura.</t>
  </si>
  <si>
    <t>Agente IA + IDP</t>
  </si>
  <si>
    <t>Definir taxonomía de tipos de glosa</t>
  </si>
  <si>
    <t>Configurar clasificador en el agente IA</t>
  </si>
  <si>
    <t>Pruebas de precisión de clasificación</t>
  </si>
  <si>
    <t>E4-007</t>
  </si>
  <si>
    <t>Cálculo de impacto financiero en tiempo real</t>
  </si>
  <si>
    <t>Calcula el monto total objetado, en apelación y la proyección de recupero.</t>
  </si>
  <si>
    <t>Definir fórmulas de proyección de recupero</t>
  </si>
  <si>
    <t>Configurar métricas financieras en ECM/CIC</t>
  </si>
  <si>
    <t>E4-008</t>
  </si>
  <si>
    <t>Integración con sistema contable del prestador</t>
  </si>
  <si>
    <t>Sincroniza el estado de las glosas con las cuentas por cobrar.</t>
  </si>
  <si>
    <t>Automate + Integraciones</t>
  </si>
  <si>
    <t>Relevamiento de API del ERP del cliente</t>
  </si>
  <si>
    <t>Desarrollar conector de sincronización</t>
  </si>
  <si>
    <t>Pruebas de consistencia contable</t>
  </si>
  <si>
    <t>Validación con equipo financiero del cliente</t>
  </si>
  <si>
    <t>Etapa 5 — Respuesta y Apelación de Glosas</t>
  </si>
  <si>
    <t>Post-demo (spec Etapa 8): el Agente IA ayuda a construir el argumento de apelación con soporte documental y precedentes. No incluido en la demo actual.</t>
  </si>
  <si>
    <t>E5-001</t>
  </si>
  <si>
    <t>Asistencia del Agente IA para construir la apelación</t>
  </si>
  <si>
    <t>El agente identifica documentos, sugiere el argumento y redacta el borrador (spec Etapa 8).</t>
  </si>
  <si>
    <t>Agente IA + KD</t>
  </si>
  <si>
    <t>Configurar recuperación de documentos relevantes del expediente</t>
  </si>
  <si>
    <t>Configurar generación de borrador de apelación</t>
  </si>
  <si>
    <t>Integrar precedentes exitosos del KD al borrador</t>
  </si>
  <si>
    <t>Validación con auditor senior del cliente</t>
  </si>
  <si>
    <t>E5-002</t>
  </si>
  <si>
    <t>Búsqueda de precedentes exitosos</t>
  </si>
  <si>
    <t>Recupera casos similares donde la apelación fue aceptada y los argumentos que funcionaron.</t>
  </si>
  <si>
    <t>Configurar indexación de apelaciones resueltas</t>
  </si>
  <si>
    <t>Definir criterios de similitud para recuperación</t>
  </si>
  <si>
    <t>Configurar ranking por tasa de éxito</t>
  </si>
  <si>
    <t>Pruebas de relevancia de resultados</t>
  </si>
  <si>
    <t>E5-003</t>
  </si>
  <si>
    <t>Gestión del flujo de aprobación interna</t>
  </si>
  <si>
    <t>La respuesta pasa por revisión y aprobación antes del envío, con firma electrónica.</t>
  </si>
  <si>
    <t>Diseñar flujo de aprobación multinivel</t>
  </si>
  <si>
    <t>Configurar workflow en Automate</t>
  </si>
  <si>
    <t>Integrar firma electrónica si aplica</t>
  </si>
  <si>
    <t>Pruebas de flujo completo de aprobación</t>
  </si>
  <si>
    <t>E5-004</t>
  </si>
  <si>
    <t>Envío trazable de la apelación</t>
  </si>
  <si>
    <t>El envío queda registrado con fecha, hora y acuse de recibo en el expediente.</t>
  </si>
  <si>
    <t>Configurar envío automático con registro en ECM</t>
  </si>
  <si>
    <t>Configurar captura del acuse de recibo</t>
  </si>
  <si>
    <t>Validar inmutabilidad del registro de envío</t>
  </si>
  <si>
    <t>E5-005</t>
  </si>
  <si>
    <t>Seguimiento del estado de la apelación</t>
  </si>
  <si>
    <t>Panel con estado de cada apelación: pendiente, aceptada, rechazada, en conciliación.</t>
  </si>
  <si>
    <t>Configurar estados del caso de apelación</t>
  </si>
  <si>
    <t>Configurar panel de seguimiento</t>
  </si>
  <si>
    <t>Configurar alertas de cambio de estado</t>
  </si>
  <si>
    <t>Capacitación al equipo auditor</t>
  </si>
  <si>
    <t>E5-006</t>
  </si>
  <si>
    <t>Enriquecimiento de la base de conocimiento</t>
  </si>
  <si>
    <t>Cada glosa resuelta alimenta automáticamente el Knowledge Discovery.</t>
  </si>
  <si>
    <t>Configurar pipeline de retroalimentación al KD</t>
  </si>
  <si>
    <t>Definir metadatos de resultado a capturar</t>
  </si>
  <si>
    <t>Validar actualización de tasa de éxito</t>
  </si>
  <si>
    <t>Etapa 6 — Seguimiento de Pago, Conciliación y Cierre</t>
  </si>
  <si>
    <t>Post-demo (spec Etapa 10): conciliación de pagos, cierre del expediente y métricas de ciclo. No incluido en la demo actual.</t>
  </si>
  <si>
    <t>E6-001</t>
  </si>
  <si>
    <t>Conciliación automática de pagos</t>
  </si>
  <si>
    <t>Cruza el valor pagado contra la cuenta original y los acuerdos de glosa (spec Etapa 10).</t>
  </si>
  <si>
    <t>Definir reglas de conciliación por tipo de acuerdo</t>
  </si>
  <si>
    <t>Configurar proceso de conciliación en Automate</t>
  </si>
  <si>
    <t>Configurar alerta por diferencias no esperadas</t>
  </si>
  <si>
    <t>Pruebas con escenarios de pago parcial</t>
  </si>
  <si>
    <t>E6-002</t>
  </si>
  <si>
    <t>Cierre del expediente con trazabilidad completa</t>
  </si>
  <si>
    <t>El expediente queda cerrado con el historial completo: facturación, glosas, apelaciones, pago.</t>
  </si>
  <si>
    <t>Definir checklist de cierre del expediente</t>
  </si>
  <si>
    <t>Configurar sellado del expediente al cierre</t>
  </si>
  <si>
    <t>Validar trazabilidad completa del timeline</t>
  </si>
  <si>
    <t>Pruebas de acceso post-cierre (solo lectura)</t>
  </si>
  <si>
    <t>E6-003</t>
  </si>
  <si>
    <t>Dashboard financiero de recupero</t>
  </si>
  <si>
    <t>Muestra por aseguradora: valor facturado, glosado, recuperado y perdido definitivamente.</t>
  </si>
  <si>
    <t>Definir métricas de recupero con el cliente</t>
  </si>
  <si>
    <t>Configurar dashboard financiero en ECM/CIC</t>
  </si>
  <si>
    <t>Configurar exportación a Excel/PDF</t>
  </si>
  <si>
    <t>Capacitación a dirección financiera</t>
  </si>
  <si>
    <t>E6-004</t>
  </si>
  <si>
    <t>Integración con ERP y cuentas por cobrar</t>
  </si>
  <si>
    <t>El cierre del expediente actualiza automáticamente el sistema contable del prestador.</t>
  </si>
  <si>
    <t>Mapear eventos de cierre a acciones en ERP</t>
  </si>
  <si>
    <t>Desarrollar conector de integración ERP</t>
  </si>
  <si>
    <t>Pruebas de consistencia contable end-to-end</t>
  </si>
  <si>
    <t>Validación con auditoría financiera del cliente</t>
  </si>
  <si>
    <t>E6-005</t>
  </si>
  <si>
    <t>Métricas de ciclo de cuentas médicas</t>
  </si>
  <si>
    <t>Tiempo promedio de pago, tasa de glosas, tasa de éxito en apelación, valor en riesgo.</t>
  </si>
  <si>
    <t>Definir KPIs del ciclo con el cliente</t>
  </si>
  <si>
    <t>Configurar cálculo automático de métricas</t>
  </si>
  <si>
    <t>Configurar reporte periódico automatizado</t>
  </si>
  <si>
    <t>Validar con gerencia de facturación</t>
  </si>
  <si>
    <t>E6-006</t>
  </si>
  <si>
    <t>Retención documental y cumplimiento normativo</t>
  </si>
  <si>
    <t>Gestión de retención según normativa vigente con pistas de auditoría inmutables.</t>
  </si>
  <si>
    <t>Mapear normativa de retención por país (CO/MX/PE)</t>
  </si>
  <si>
    <t>Configurar políticas de retención en ECM</t>
  </si>
  <si>
    <t>Configurar pistas de auditoría inmutables</t>
  </si>
  <si>
    <t>Pruebas de cumplimiento normativo</t>
  </si>
  <si>
    <t>E6-007</t>
  </si>
  <si>
    <t>Enriquecimiento del modelo predictivo de glosas</t>
  </si>
  <si>
    <t>Las métricas del ciclo cerrado retroalimentan el agente IA para mejorar la validación previa.</t>
  </si>
  <si>
    <t>KD + Agente IA</t>
  </si>
  <si>
    <t>Configurar pipeline de retroalimentación KD → Agente IA</t>
  </si>
  <si>
    <t>Medir mejora de precisión ciclo a ciclo</t>
  </si>
  <si>
    <t>Documentar impacto en reducción de glosas</t>
  </si>
  <si>
    <t>HYLAND  |  Instrucciones del Epic Tracker</t>
  </si>
  <si>
    <t>Estructura del archivo</t>
  </si>
  <si>
    <t>📊 Dashboard</t>
  </si>
  <si>
    <t>KPIs globales, tabla de progreso por etapa y resumen de alcance por Fase. Todo con fórmulas dinámicas.</t>
  </si>
  <si>
    <t>E1 – E6</t>
  </si>
  <si>
    <t>Una hoja por etapa. Cada Epic (funcionalidad) tiene sus subtareas. E1–E2 concentran el alcance de la demo; E3–E6 son fases posteriores.</t>
  </si>
  <si>
    <t>Columna Fase (nuevo)</t>
  </si>
  <si>
    <t>Funcionalidad incluida en la demostración final: implementada o en progreso.</t>
  </si>
  <si>
    <t>Alcance ampliado inmediato tras la demo (envío, RIPS, glosas base — spec Etapas 7-8).</t>
  </si>
  <si>
    <t>Roadmap posterior: apelación avanzada, pago, conciliación, cierre y modelos predictivos (spec Etapas 8-10).</t>
  </si>
  <si>
    <t>Estados</t>
  </si>
  <si>
    <t>Identificado, no iniciado.</t>
  </si>
  <si>
    <t>Activamente en desarrollo.</t>
  </si>
  <si>
    <t>En Revisión</t>
  </si>
  <si>
    <t>En validación con cliente o equipo técnico.</t>
  </si>
  <si>
    <t>Finalizado y validado.</t>
  </si>
  <si>
    <t>Bloqueado</t>
  </si>
  <si>
    <t>Detenido por dependencia o problema técnico.</t>
  </si>
  <si>
    <t>Fórmulas dinámicas</t>
  </si>
  <si>
    <t>% Avance por Epic</t>
  </si>
  <si>
    <t>Completadas ÷ total de subtareas del Epic (cuenta solo estados válidos en la columna Status de subtareas).</t>
  </si>
  <si>
    <t>Dashboard</t>
  </si>
  <si>
    <t>Cuenta Epics por la columna Fase y subtareas por la columna Status. Se actualiza al cambiar estados o agregar subtareas dentro del rango del Epic.</t>
  </si>
  <si>
    <t>Editar</t>
  </si>
  <si>
    <t>Status y Fase son listas desplegables. Para agregar subtareas inserte filas dentro del rango del Epic.</t>
  </si>
  <si>
    <t>Nota de realineacion</t>
  </si>
  <si>
    <t>2026-07-03</t>
  </si>
  <si>
    <t>Tracker realineado con medical-records-demo-process-specification.md: se agregaron plugin/overview, intake, reejecucion IDP, reporting dashboard, los 3 agentes reales y la consola de Analisis; envio, glosas, apelacion y pago se marcaron como fases posteriores.</t>
  </si>
  <si>
    <t>Confidencial - Uso interno Hyland  -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</si>
</sst>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charset val="1"/>
    </font>
    <font>
      <b/>
      <sz val="15"/>
      <color rgb="FFFFFFFF"/>
      <name val="Arial Nova"/>
      <charset val="1"/>
    </font>
    <font>
      <b/>
      <sz val="10"/>
      <color rgb="FFFFFFFF"/>
      <name val="Arial Nova"/>
      <charset val="1"/>
    </font>
    <font>
      <b/>
      <sz val="18"/>
      <color rgb="FF191F5E"/>
      <name val="Arial Nova"/>
      <charset val="1"/>
    </font>
    <font>
      <b/>
      <sz val="8"/>
      <color rgb="FF097560"/>
      <name val="Source Sans Pro"/>
      <charset val="1"/>
    </font>
    <font>
      <b/>
      <sz val="9"/>
      <color rgb="FFFFFFFF"/>
      <name val="Arial Nova"/>
      <charset val="1"/>
    </font>
    <font>
      <sz val="9"/>
      <color rgb="FF191F5E"/>
      <name val="Source Sans Pro"/>
      <charset val="1"/>
    </font>
    <font>
      <sz val="9"/>
      <color rgb="FF333333"/>
      <name val="Source Sans Pro"/>
      <charset val="1"/>
    </font>
    <font>
      <b/>
      <sz val="10"/>
      <color rgb="FF097560"/>
      <name val="Arial Nova"/>
      <charset val="1"/>
    </font>
    <font>
      <b/>
      <sz val="11"/>
      <color rgb="FF191F5E"/>
      <name val="Arial Nova"/>
      <charset val="1"/>
    </font>
    <font>
      <b/>
      <sz val="11"/>
      <color rgb="FF191F5E"/>
      <name val="Source Sans Pro"/>
      <charset val="1"/>
    </font>
    <font>
      <b/>
      <sz val="13"/>
      <color rgb="FF097560"/>
      <name val="Arial Nova"/>
      <charset val="1"/>
    </font>
    <font>
      <b/>
      <sz val="10"/>
      <color rgb="FFB07A12"/>
      <name val="Arial Nova"/>
      <charset val="1"/>
    </font>
    <font>
      <b/>
      <sz val="10"/>
      <color rgb="FF5B4B8A"/>
      <name val="Arial Nova"/>
      <charset val="1"/>
    </font>
    <font>
      <b/>
      <sz val="11"/>
      <color rgb="FFFFFFFF"/>
      <name val="Arial Nova"/>
      <charset val="1"/>
    </font>
    <font>
      <i/>
      <sz val="9"/>
      <color rgb="FF555555"/>
      <name val="Source Sans Pro"/>
      <charset val="1"/>
    </font>
    <font>
      <b/>
      <sz val="9"/>
      <color rgb="FF097560"/>
      <name val="Arial Nova"/>
      <charset val="1"/>
    </font>
    <font>
      <b/>
      <sz val="10"/>
      <color rgb="FF191F5E"/>
      <name val="Arial Nova"/>
      <charset val="1"/>
    </font>
    <font>
      <sz val="8"/>
      <color rgb="FF444444"/>
      <name val="Source Sans Pro"/>
      <charset val="1"/>
    </font>
    <font>
      <b/>
      <sz val="8"/>
      <color rgb="FF191F5E"/>
      <name val="Source Sans Pro"/>
      <charset val="1"/>
    </font>
    <font>
      <b/>
      <sz val="8"/>
      <color rgb="FFB00020"/>
      <name val="Source Sans Pro"/>
      <charset val="1"/>
    </font>
    <font>
      <sz val="8"/>
      <color rgb="FF555555"/>
      <name val="Source Sans Pro"/>
      <charset val="1"/>
    </font>
    <font>
      <i/>
      <sz val="8"/>
      <color rgb="FF666666"/>
      <name val="Source Sans Pro"/>
      <charset val="1"/>
    </font>
    <font>
      <b/>
      <sz val="8"/>
      <color rgb="FFFFFFFF"/>
      <name val="Arial Nova"/>
      <charset val="1"/>
    </font>
    <font>
      <sz val="8"/>
      <color rgb="FF999999"/>
      <name val="Source Sans Pro"/>
      <charset val="1"/>
    </font>
    <font>
      <i/>
      <sz val="8"/>
      <color rgb="FF777777"/>
      <name val="Source Sans Pro"/>
      <charset val="1"/>
    </font>
    <font>
      <b/>
      <sz val="8"/>
      <color rgb="FF888888"/>
      <name val="Source Sans Pro"/>
      <charset val="1"/>
    </font>
    <font>
      <b/>
      <sz val="8"/>
      <color rgb="FFB07A12"/>
      <name val="Source Sans Pro"/>
      <charset val="1"/>
    </font>
    <font>
      <b/>
      <sz val="8"/>
      <color rgb="FF5B4B8A"/>
      <name val="Source Sans Pro"/>
      <charset val="1"/>
    </font>
    <font>
      <b/>
      <sz val="13"/>
      <color rgb="FFFFFFFF"/>
      <name val="Arial Nova"/>
      <charset val="1"/>
    </font>
    <font>
      <b/>
      <sz val="9"/>
      <color rgb="FF191F5E"/>
      <name val="Source Sans Pro"/>
      <charset val="1"/>
    </font>
    <font>
      <sz val="9"/>
      <color rgb="FF444444"/>
      <name val="Source Sans Pro"/>
      <charset val="1"/>
    </font>
    <font>
      <i/>
      <sz val="8"/>
      <color rgb="FFFFFFFF"/>
      <name val="Source Sans Pro"/>
      <charset val="1"/>
    </font>
  </fonts>
  <fills count="8">
    <fill>
      <patternFill patternType="none"/>
    </fill>
    <fill>
      <patternFill patternType="gray125"/>
    </fill>
    <fill>
      <patternFill patternType="solid">
        <fgColor rgb="FF191F5E"/>
        <bgColor rgb="FF333333"/>
      </patternFill>
    </fill>
    <fill>
      <patternFill patternType="solid">
        <fgColor rgb="FF097560"/>
        <bgColor rgb="FF008080"/>
      </patternFill>
    </fill>
    <fill>
      <patternFill patternType="solid">
        <fgColor rgb="FFE0F2ED"/>
        <bgColor rgb="FFEDEBF3"/>
      </patternFill>
    </fill>
    <fill>
      <patternFill patternType="solid">
        <fgColor rgb="FFFFF1D6"/>
        <bgColor rgb="FFF5F5F3"/>
      </patternFill>
    </fill>
    <fill>
      <patternFill patternType="solid">
        <fgColor rgb="FFEDEBF3"/>
        <bgColor rgb="FFF5F5F3"/>
      </patternFill>
    </fill>
    <fill>
      <patternFill patternType="solid">
        <fgColor rgb="FFF5F5F3"/>
        <bgColor rgb="FFEDEB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2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3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9" fontId="11" fillId="4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0" fillId="4" borderId="0" xfId="0" applyFill="1"/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9" fontId="8" fillId="4" borderId="0" xfId="0" applyNumberFormat="1" applyFont="1" applyFill="1" applyAlignment="1">
      <alignment horizontal="center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23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2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0" fillId="5" borderId="0" xfId="0" applyFill="1"/>
    <xf numFmtId="0" fontId="16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9" fontId="8" fillId="5" borderId="0" xfId="0" applyNumberFormat="1" applyFont="1" applyFill="1" applyAlignment="1">
      <alignment horizontal="center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6" borderId="0" xfId="0" applyFill="1"/>
    <xf numFmtId="0" fontId="16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9" fontId="8" fillId="6" borderId="0" xfId="0" applyNumberFormat="1" applyFont="1" applyFill="1" applyAlignment="1">
      <alignment horizontal="center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 vertical="top" wrapText="1"/>
    </xf>
    <xf numFmtId="0" fontId="3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B07A12"/>
      <rgbColor rgb="FF800080"/>
      <rgbColor rgb="FF097560"/>
      <rgbColor rgb="FFBFBFBF"/>
      <rgbColor rgb="FF888888"/>
      <rgbColor rgb="FF9999FF"/>
      <rgbColor rgb="FF555555"/>
      <rgbColor rgb="FFFFF1D6"/>
      <rgbColor rgb="FFE0F2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BF3"/>
      <rgbColor rgb="FFF5F5F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91F5E"/>
      <rgbColor rgb="FF777777"/>
      <rgbColor rgb="FF003300"/>
      <rgbColor rgb="FF444444"/>
      <rgbColor rgb="FF993300"/>
      <rgbColor rgb="FF993366"/>
      <rgbColor rgb="FF5B4B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4"/>
  <sheetViews>
    <sheetView showGridLines="0" tabSelected="1" zoomScale="130" zoomScaleNormal="130" workbookViewId="0">
      <selection activeCell="D16" sqref="D16"/>
    </sheetView>
  </sheetViews>
  <sheetFormatPr baseColWidth="10" defaultColWidth="8.7109375" defaultRowHeight="15" x14ac:dyDescent="0.25"/>
  <cols>
    <col min="1" max="1" width="2" customWidth="1"/>
    <col min="2" max="2" width="34" customWidth="1"/>
    <col min="3" max="4" width="11" customWidth="1"/>
    <col min="5" max="6" width="12" customWidth="1"/>
    <col min="7" max="9" width="11" customWidth="1"/>
  </cols>
  <sheetData>
    <row r="1" spans="2:9" ht="7.5" customHeight="1" x14ac:dyDescent="0.25"/>
    <row r="2" spans="2:9" ht="33.75" customHeight="1" x14ac:dyDescent="0.25">
      <c r="B2" s="8" t="s">
        <v>0</v>
      </c>
      <c r="C2" s="8"/>
      <c r="D2" s="8"/>
      <c r="E2" s="8"/>
      <c r="F2" s="8"/>
      <c r="G2" s="8"/>
      <c r="H2" s="8"/>
      <c r="I2" s="8"/>
    </row>
    <row r="3" spans="2:9" ht="19.5" customHeight="1" x14ac:dyDescent="0.25">
      <c r="B3" s="7" t="s">
        <v>1</v>
      </c>
      <c r="C3" s="7"/>
      <c r="D3" s="7"/>
      <c r="E3" s="7"/>
      <c r="F3" s="7"/>
      <c r="G3" s="7"/>
      <c r="H3" s="7"/>
      <c r="I3" s="7"/>
    </row>
    <row r="4" spans="2:9" ht="6" customHeight="1" x14ac:dyDescent="0.25"/>
    <row r="6" spans="2:9" ht="30" customHeight="1" x14ac:dyDescent="0.25">
      <c r="B6" s="9">
        <f>COUNTA('E1 · Captura'!J7:J500)+COUNTA('E2 · Validación IA'!J7:J500)+COUNTA('E3 · Envío'!J7:J500)+COUNTA('E4 · Glosas'!J7:J500)+COUNTA('E5 · Apelación'!J7:J500)+COUNTA('E6 · Pago y Cierre'!J7:J500)</f>
        <v>45</v>
      </c>
      <c r="C6" s="9">
        <f>(COUNTIF('E1 · Captura'!F7:F500,"Pendiente")+COUNTIF('E1 · Captura'!F7:F500,"En Progreso")+COUNTIF('E1 · Captura'!F7:F500,"En Revisión")+COUNTIF('E1 · Captura'!F7:F500,"Completado")+COUNTIF('E1 · Captura'!F7:F500,"Bloqueado"))+(COUNTIF('E2 · Validación IA'!F7:F500,"Pendiente")+COUNTIF('E2 · Validación IA'!F7:F500,"En Progreso")+COUNTIF('E2 · Validación IA'!F7:F500,"En Revisión")+COUNTIF('E2 · Validación IA'!F7:F500,"Completado")+COUNTIF('E2 · Validación IA'!F7:F500,"Bloqueado"))+(COUNTIF('E3 · Envío'!F7:F500,"Pendiente")+COUNTIF('E3 · Envío'!F7:F500,"En Progreso")+COUNTIF('E3 · Envío'!F7:F500,"En Revisión")+COUNTIF('E3 · Envío'!F7:F500,"Completado")+COUNTIF('E3 · Envío'!F7:F500,"Bloqueado"))+(COUNTIF('E4 · Glosas'!F7:F500,"Pendiente")+COUNTIF('E4 · Glosas'!F7:F500,"En Progreso")+COUNTIF('E4 · Glosas'!F7:F500,"En Revisión")+COUNTIF('E4 · Glosas'!F7:F500,"Completado")+COUNTIF('E4 · Glosas'!F7:F500,"Bloqueado"))+(COUNTIF('E5 · Apelación'!F7:F500,"Pendiente")+COUNTIF('E5 · Apelación'!F7:F500,"En Progreso")+COUNTIF('E5 · Apelación'!F7:F500,"En Revisión")+COUNTIF('E5 · Apelación'!F7:F500,"Completado")+COUNTIF('E5 · Apelación'!F7:F500,"Bloqueado"))+(COUNTIF('E6 · Pago y Cierre'!F7:F500,"Pendiente")+COUNTIF('E6 · Pago y Cierre'!F7:F500,"En Progreso")+COUNTIF('E6 · Pago y Cierre'!F7:F500,"En Revisión")+COUNTIF('E6 · Pago y Cierre'!F7:F500,"Completado")+COUNTIF('E6 · Pago y Cierre'!F7:F500,"Bloqueado"))</f>
        <v>187</v>
      </c>
      <c r="D6" s="9">
        <f>COUNTIF('E1 · Captura'!F7:F500,"Completado")+COUNTIF('E2 · Validación IA'!F7:F500,"Completado")+COUNTIF('E3 · Envío'!F7:F500,"Completado")+COUNTIF('E4 · Glosas'!F7:F500,"Completado")+COUNTIF('E5 · Apelación'!F7:F500,"Completado")+COUNTIF('E6 · Pago y Cierre'!F7:F500,"Completado")</f>
        <v>29</v>
      </c>
      <c r="E6" s="9">
        <f>COUNTIF('E1 · Captura'!F7:F500,"En Progreso")+COUNTIF('E2 · Validación IA'!F7:F500,"En Progreso")+COUNTIF('E3 · Envío'!F7:F500,"En Progreso")+COUNTIF('E4 · Glosas'!F7:F500,"En Progreso")+COUNTIF('E5 · Apelación'!F7:F500,"En Progreso")+COUNTIF('E6 · Pago y Cierre'!F7:F500,"En Progreso")</f>
        <v>26</v>
      </c>
      <c r="F6" s="9">
        <f>COUNTIF('E1 · Captura'!F7:F500,"Pendiente")+COUNTIF('E2 · Validación IA'!F7:F500,"Pendiente")+COUNTIF('E3 · Envío'!F7:F500,"Pendiente")+COUNTIF('E4 · Glosas'!F7:F500,"Pendiente")+COUNTIF('E5 · Apelación'!F7:F500,"Pendiente")+COUNTIF('E6 · Pago y Cierre'!F7:F500,"Pendiente")</f>
        <v>132</v>
      </c>
      <c r="G6" s="9">
        <f>COUNTIF('E1 · Captura'!F7:F500,"Bloqueado")+COUNTIF('E2 · Validación IA'!F7:F500,"Bloqueado")+COUNTIF('E3 · Envío'!F7:F500,"Bloqueado")+COUNTIF('E4 · Glosas'!F7:F500,"Bloqueado")+COUNTIF('E5 · Apelación'!F7:F500,"Bloqueado")+COUNTIF('E6 · Pago y Cierre'!F7:F500,"Bloqueado")</f>
        <v>0</v>
      </c>
    </row>
    <row r="7" spans="2:9" ht="18" customHeight="1" x14ac:dyDescent="0.25">
      <c r="B7" s="10" t="s">
        <v>2</v>
      </c>
      <c r="C7" s="10" t="s">
        <v>3</v>
      </c>
      <c r="D7" s="10" t="s">
        <v>4</v>
      </c>
      <c r="E7" s="10" t="s">
        <v>5</v>
      </c>
      <c r="F7" s="10" t="s">
        <v>6</v>
      </c>
      <c r="G7" s="10" t="s">
        <v>7</v>
      </c>
    </row>
    <row r="8" spans="2:9" ht="7.5" customHeight="1" x14ac:dyDescent="0.25"/>
    <row r="9" spans="2:9" ht="21.75" customHeight="1" x14ac:dyDescent="0.25">
      <c r="B9" s="11" t="s">
        <v>8</v>
      </c>
      <c r="C9" s="11" t="s">
        <v>2</v>
      </c>
      <c r="D9" s="11" t="s">
        <v>3</v>
      </c>
      <c r="E9" s="11" t="s">
        <v>4</v>
      </c>
      <c r="F9" s="11" t="s">
        <v>5</v>
      </c>
      <c r="G9" s="11" t="s">
        <v>6</v>
      </c>
      <c r="H9" s="11" t="s">
        <v>7</v>
      </c>
      <c r="I9" s="11" t="s">
        <v>9</v>
      </c>
    </row>
    <row r="10" spans="2:9" ht="19.5" customHeight="1" x14ac:dyDescent="0.25">
      <c r="B10" s="12" t="s">
        <v>10</v>
      </c>
      <c r="C10" s="13">
        <f>COUNTA('E1 · Captura'!J7:J500)</f>
        <v>11</v>
      </c>
      <c r="D10" s="13">
        <f>(COUNTIF('E1 · Captura'!F7:F500,"Pendiente")+COUNTIF('E1 · Captura'!F7:F500,"En Progreso")+COUNTIF('E1 · Captura'!F7:F500,"En Revisión")+COUNTIF('E1 · Captura'!F7:F500,"Completado")+COUNTIF('E1 · Captura'!F7:F500,"Bloqueado"))</f>
        <v>51</v>
      </c>
      <c r="E10" s="13">
        <f>COUNTIF('E1 · Captura'!F7:F500,"Completado")</f>
        <v>15</v>
      </c>
      <c r="F10" s="13">
        <f>COUNTIF('E1 · Captura'!F7:F500,"En Progreso")</f>
        <v>18</v>
      </c>
      <c r="G10" s="13">
        <f>COUNTIF('E1 · Captura'!F7:F500,"Pendiente")</f>
        <v>18</v>
      </c>
      <c r="H10" s="13">
        <f>COUNTIF('E1 · Captura'!F7:F500,"Bloqueado")</f>
        <v>0</v>
      </c>
      <c r="I10" s="14">
        <f t="shared" ref="I10:I16" si="0">IFERROR(E10/D10,0)</f>
        <v>0.29411764705882354</v>
      </c>
    </row>
    <row r="11" spans="2:9" ht="19.5" customHeight="1" x14ac:dyDescent="0.25">
      <c r="B11" s="12" t="s">
        <v>11</v>
      </c>
      <c r="C11" s="13">
        <f>COUNTA('E2 · Validación IA'!J7:J500)</f>
        <v>7</v>
      </c>
      <c r="D11" s="13">
        <f>(COUNTIF('E2 · Validación IA'!F7:F500,"Pendiente")+COUNTIF('E2 · Validación IA'!F7:F500,"En Progreso")+COUNTIF('E2 · Validación IA'!F7:F500,"En Revisión")+COUNTIF('E2 · Validación IA'!F7:F500,"Completado")+COUNTIF('E2 · Validación IA'!F7:F500,"Bloqueado"))</f>
        <v>33</v>
      </c>
      <c r="E11" s="13">
        <f>COUNTIF('E2 · Validación IA'!F7:F500,"Completado")</f>
        <v>14</v>
      </c>
      <c r="F11" s="13">
        <f>COUNTIF('E2 · Validación IA'!F7:F500,"En Progreso")</f>
        <v>8</v>
      </c>
      <c r="G11" s="13">
        <f>COUNTIF('E2 · Validación IA'!F7:F500,"Pendiente")</f>
        <v>11</v>
      </c>
      <c r="H11" s="13">
        <f>COUNTIF('E2 · Validación IA'!F7:F500,"Bloqueado")</f>
        <v>0</v>
      </c>
      <c r="I11" s="14">
        <f t="shared" si="0"/>
        <v>0.42424242424242425</v>
      </c>
    </row>
    <row r="12" spans="2:9" ht="19.5" customHeight="1" x14ac:dyDescent="0.25">
      <c r="B12" s="12" t="s">
        <v>12</v>
      </c>
      <c r="C12" s="13">
        <f>COUNTA('E3 · Envío'!J7:J500)</f>
        <v>6</v>
      </c>
      <c r="D12" s="13">
        <f>(COUNTIF('E3 · Envío'!F7:F500,"Pendiente")+COUNTIF('E3 · Envío'!F7:F500,"En Progreso")+COUNTIF('E3 · Envío'!F7:F500,"En Revisión")+COUNTIF('E3 · Envío'!F7:F500,"Completado")+COUNTIF('E3 · Envío'!F7:F500,"Bloqueado"))</f>
        <v>24</v>
      </c>
      <c r="E12" s="13">
        <f>COUNTIF('E3 · Envío'!F7:F500,"Completado")</f>
        <v>0</v>
      </c>
      <c r="F12" s="13">
        <f>COUNTIF('E3 · Envío'!F7:F500,"En Progreso")</f>
        <v>0</v>
      </c>
      <c r="G12" s="13">
        <f>COUNTIF('E3 · Envío'!F7:F500,"Pendiente")</f>
        <v>24</v>
      </c>
      <c r="H12" s="13">
        <f>COUNTIF('E3 · Envío'!F7:F500,"Bloqueado")</f>
        <v>0</v>
      </c>
      <c r="I12" s="14">
        <f t="shared" si="0"/>
        <v>0</v>
      </c>
    </row>
    <row r="13" spans="2:9" ht="19.5" customHeight="1" x14ac:dyDescent="0.25">
      <c r="B13" s="12" t="s">
        <v>13</v>
      </c>
      <c r="C13" s="13">
        <f>COUNTA('E4 · Glosas'!J7:J500)</f>
        <v>8</v>
      </c>
      <c r="D13" s="13">
        <f>(COUNTIF('E4 · Glosas'!F7:F500,"Pendiente")+COUNTIF('E4 · Glosas'!F7:F500,"En Progreso")+COUNTIF('E4 · Glosas'!F7:F500,"En Revisión")+COUNTIF('E4 · Glosas'!F7:F500,"Completado")+COUNTIF('E4 · Glosas'!F7:F500,"Bloqueado"))</f>
        <v>30</v>
      </c>
      <c r="E13" s="13">
        <f>COUNTIF('E4 · Glosas'!F7:F500,"Completado")</f>
        <v>0</v>
      </c>
      <c r="F13" s="13">
        <f>COUNTIF('E4 · Glosas'!F7:F500,"En Progreso")</f>
        <v>0</v>
      </c>
      <c r="G13" s="13">
        <f>COUNTIF('E4 · Glosas'!F7:F500,"Pendiente")</f>
        <v>30</v>
      </c>
      <c r="H13" s="13">
        <f>COUNTIF('E4 · Glosas'!F7:F500,"Bloqueado")</f>
        <v>0</v>
      </c>
      <c r="I13" s="14">
        <f t="shared" si="0"/>
        <v>0</v>
      </c>
    </row>
    <row r="14" spans="2:9" ht="19.5" customHeight="1" x14ac:dyDescent="0.25">
      <c r="B14" s="12" t="s">
        <v>14</v>
      </c>
      <c r="C14" s="13">
        <f>COUNTA('E5 · Apelación'!J7:J500)</f>
        <v>6</v>
      </c>
      <c r="D14" s="13">
        <f>(COUNTIF('E5 · Apelación'!F7:F500,"Pendiente")+COUNTIF('E5 · Apelación'!F7:F500,"En Progreso")+COUNTIF('E5 · Apelación'!F7:F500,"En Revisión")+COUNTIF('E5 · Apelación'!F7:F500,"Completado")+COUNTIF('E5 · Apelación'!F7:F500,"Bloqueado"))</f>
        <v>22</v>
      </c>
      <c r="E14" s="13">
        <f>COUNTIF('E5 · Apelación'!F7:F500,"Completado")</f>
        <v>0</v>
      </c>
      <c r="F14" s="13">
        <f>COUNTIF('E5 · Apelación'!F7:F500,"En Progreso")</f>
        <v>0</v>
      </c>
      <c r="G14" s="13">
        <f>COUNTIF('E5 · Apelación'!F7:F500,"Pendiente")</f>
        <v>22</v>
      </c>
      <c r="H14" s="13">
        <f>COUNTIF('E5 · Apelación'!F7:F500,"Bloqueado")</f>
        <v>0</v>
      </c>
      <c r="I14" s="14">
        <f t="shared" si="0"/>
        <v>0</v>
      </c>
    </row>
    <row r="15" spans="2:9" ht="19.5" customHeight="1" x14ac:dyDescent="0.25">
      <c r="B15" s="12" t="s">
        <v>15</v>
      </c>
      <c r="C15" s="13">
        <f>COUNTA('E6 · Pago y Cierre'!J7:J500)</f>
        <v>7</v>
      </c>
      <c r="D15" s="13">
        <f>(COUNTIF('E6 · Pago y Cierre'!F7:F500,"Pendiente")+COUNTIF('E6 · Pago y Cierre'!F7:F500,"En Progreso")+COUNTIF('E6 · Pago y Cierre'!F7:F500,"En Revisión")+COUNTIF('E6 · Pago y Cierre'!F7:F500,"Completado")+COUNTIF('E6 · Pago y Cierre'!F7:F500,"Bloqueado"))</f>
        <v>27</v>
      </c>
      <c r="E15" s="13">
        <f>COUNTIF('E6 · Pago y Cierre'!F7:F500,"Completado")</f>
        <v>0</v>
      </c>
      <c r="F15" s="13">
        <f>COUNTIF('E6 · Pago y Cierre'!F7:F500,"En Progreso")</f>
        <v>0</v>
      </c>
      <c r="G15" s="13">
        <f>COUNTIF('E6 · Pago y Cierre'!F7:F500,"Pendiente")</f>
        <v>27</v>
      </c>
      <c r="H15" s="13">
        <f>COUNTIF('E6 · Pago y Cierre'!F7:F500,"Bloqueado")</f>
        <v>0</v>
      </c>
      <c r="I15" s="14">
        <f t="shared" si="0"/>
        <v>0</v>
      </c>
    </row>
    <row r="16" spans="2:9" ht="21.75" customHeight="1" x14ac:dyDescent="0.25">
      <c r="B16" s="15" t="s">
        <v>16</v>
      </c>
      <c r="C16" s="11">
        <f t="shared" ref="C16:H16" si="1">SUM(C10:C15)</f>
        <v>45</v>
      </c>
      <c r="D16" s="11">
        <f t="shared" si="1"/>
        <v>187</v>
      </c>
      <c r="E16" s="11">
        <f t="shared" si="1"/>
        <v>29</v>
      </c>
      <c r="F16" s="11">
        <f t="shared" si="1"/>
        <v>26</v>
      </c>
      <c r="G16" s="11">
        <f t="shared" si="1"/>
        <v>132</v>
      </c>
      <c r="H16" s="11">
        <f t="shared" si="1"/>
        <v>0</v>
      </c>
      <c r="I16" s="16">
        <f t="shared" si="0"/>
        <v>0.15508021390374332</v>
      </c>
    </row>
    <row r="18" spans="2:8" ht="19.5" customHeight="1" x14ac:dyDescent="0.25">
      <c r="B18" s="6" t="s">
        <v>17</v>
      </c>
      <c r="C18" s="6"/>
      <c r="D18" s="6"/>
      <c r="E18" s="6"/>
      <c r="F18" s="6"/>
      <c r="G18" s="6"/>
      <c r="H18" s="6"/>
    </row>
    <row r="19" spans="2:8" ht="21.75" customHeight="1" x14ac:dyDescent="0.25">
      <c r="B19" s="11" t="s">
        <v>18</v>
      </c>
      <c r="C19" s="11" t="s">
        <v>2</v>
      </c>
      <c r="D19" s="11" t="s">
        <v>3</v>
      </c>
      <c r="E19" s="11" t="s">
        <v>4</v>
      </c>
      <c r="F19" s="11" t="s">
        <v>5</v>
      </c>
      <c r="G19" s="11" t="s">
        <v>6</v>
      </c>
      <c r="H19" s="11" t="s">
        <v>9</v>
      </c>
    </row>
    <row r="20" spans="2:8" ht="24" customHeight="1" x14ac:dyDescent="0.25">
      <c r="B20" s="17" t="s">
        <v>19</v>
      </c>
      <c r="C20" s="18">
        <f>COUNTIF('E1 · Captura'!J7:J500,"Demo")+COUNTIF('E2 · Validación IA'!J7:J500,"Demo")+COUNTIF('E3 · Envío'!J7:J500,"Demo")+COUNTIF('E4 · Glosas'!J7:J500,"Demo")+COUNTIF('E5 · Apelación'!J7:J500,"Demo")+COUNTIF('E6 · Pago y Cierre'!J7:J500,"Demo")</f>
        <v>14</v>
      </c>
      <c r="D20" s="18">
        <f>SUMIF('E1 · Captura'!J7:J500,"Demo",'E1 · Captura'!N7:N500)+SUMIF('E2 · Validación IA'!J7:J500,"Demo",'E2 · Validación IA'!N7:N500)+SUMIF('E3 · Envío'!J7:J500,"Demo",'E3 · Envío'!N7:N500)+SUMIF('E4 · Glosas'!J7:J500,"Demo",'E4 · Glosas'!N7:N500)+SUMIF('E5 · Apelación'!J7:J500,"Demo",'E5 · Apelación'!N7:N500)+SUMIF('E6 · Pago y Cierre'!J7:J500,"Demo",'E6 · Pago y Cierre'!N7:N500)</f>
        <v>68</v>
      </c>
      <c r="E20" s="18">
        <f>SUMIF('E1 · Captura'!J7:J500,"Demo",'E1 · Captura'!O7:O500)+SUMIF('E2 · Validación IA'!J7:J500,"Demo",'E2 · Validación IA'!O7:O500)+SUMIF('E3 · Envío'!J7:J500,"Demo",'E3 · Envío'!O7:O500)+SUMIF('E4 · Glosas'!J7:J500,"Demo",'E4 · Glosas'!O7:O500)+SUMIF('E5 · Apelación'!J7:J500,"Demo",'E5 · Apelación'!O7:O500)+SUMIF('E6 · Pago y Cierre'!J7:J500,"Demo",'E6 · Pago y Cierre'!O7:O500)</f>
        <v>28</v>
      </c>
      <c r="F20" s="18">
        <f>SUMIF('E1 · Captura'!J7:J500,"Demo",'E1 · Captura'!R7:R500)+SUMIF('E2 · Validación IA'!J7:J500,"Demo",'E2 · Validación IA'!R7:R500)+SUMIF('E3 · Envío'!J7:J500,"Demo",'E3 · Envío'!R7:R500)+SUMIF('E4 · Glosas'!J7:J500,"Demo",'E4 · Glosas'!R7:R500)+SUMIF('E5 · Apelación'!J7:J500,"Demo",'E5 · Apelación'!R7:R500)+SUMIF('E6 · Pago y Cierre'!J7:J500,"Demo",'E6 · Pago y Cierre'!R7:R500)</f>
        <v>26</v>
      </c>
      <c r="G20" s="18">
        <f>SUMIF('E1 · Captura'!J7:J500,"Demo",'E1 · Captura'!S7:S500)+SUMIF('E2 · Validación IA'!J7:J500,"Demo",'E2 · Validación IA'!S7:S500)+SUMIF('E3 · Envío'!J7:J500,"Demo",'E3 · Envío'!S7:S500)+SUMIF('E4 · Glosas'!J7:J500,"Demo",'E4 · Glosas'!S7:S500)+SUMIF('E5 · Apelación'!J7:J500,"Demo",'E5 · Apelación'!S7:S500)+SUMIF('E6 · Pago y Cierre'!J7:J500,"Demo",'E6 · Pago y Cierre'!S7:S500)</f>
        <v>14</v>
      </c>
      <c r="H20" s="19">
        <f>IFERROR(E20/D20,0)</f>
        <v>0.41176470588235292</v>
      </c>
    </row>
    <row r="21" spans="2:8" ht="19.5" customHeight="1" x14ac:dyDescent="0.25">
      <c r="B21" s="20" t="s">
        <v>20</v>
      </c>
      <c r="C21" s="13">
        <f>COUNTIF('E1 · Captura'!J7:J500,"Fase 2")+COUNTIF('E2 · Validación IA'!J7:J500,"Fase 2")+COUNTIF('E3 · Envío'!J7:J500,"Fase 2")+COUNTIF('E4 · Glosas'!J7:J500,"Fase 2")+COUNTIF('E5 · Apelación'!J7:J500,"Fase 2")+COUNTIF('E6 · Pago y Cierre'!J7:J500,"Fase 2")</f>
        <v>17</v>
      </c>
      <c r="D21" s="13">
        <f>SUMIF('E1 · Captura'!J7:J500,"Fase 2",'E1 · Captura'!N7:N500)+SUMIF('E2 · Validación IA'!J7:J500,"Fase 2",'E2 · Validación IA'!N7:N500)+SUMIF('E3 · Envío'!J7:J500,"Fase 2",'E3 · Envío'!N7:N500)+SUMIF('E4 · Glosas'!J7:J500,"Fase 2",'E4 · Glosas'!N7:N500)+SUMIF('E5 · Apelación'!J7:J500,"Fase 2",'E5 · Apelación'!N7:N500)+SUMIF('E6 · Pago y Cierre'!J7:J500,"Fase 2",'E6 · Pago y Cierre'!N7:N500)</f>
        <v>66</v>
      </c>
      <c r="E21" s="13">
        <f>SUMIF('E1 · Captura'!J7:J500,"Fase 2",'E1 · Captura'!O7:O500)+SUMIF('E2 · Validación IA'!J7:J500,"Fase 2",'E2 · Validación IA'!O7:O500)+SUMIF('E3 · Envío'!J7:J500,"Fase 2",'E3 · Envío'!O7:O500)+SUMIF('E4 · Glosas'!J7:J500,"Fase 2",'E4 · Glosas'!O7:O500)+SUMIF('E5 · Apelación'!J7:J500,"Fase 2",'E5 · Apelación'!O7:O500)+SUMIF('E6 · Pago y Cierre'!J7:J500,"Fase 2",'E6 · Pago y Cierre'!O7:O500)</f>
        <v>1</v>
      </c>
      <c r="F21" s="13">
        <f>SUMIF('E1 · Captura'!J7:J500,"Fase 2",'E1 · Captura'!R7:R500)+SUMIF('E2 · Validación IA'!J7:J500,"Fase 2",'E2 · Validación IA'!R7:R500)+SUMIF('E3 · Envío'!J7:J500,"Fase 2",'E3 · Envío'!R7:R500)+SUMIF('E4 · Glosas'!J7:J500,"Fase 2",'E4 · Glosas'!R7:R500)+SUMIF('E5 · Apelación'!J7:J500,"Fase 2",'E5 · Apelación'!R7:R500)+SUMIF('E6 · Pago y Cierre'!J7:J500,"Fase 2",'E6 · Pago y Cierre'!R7:R500)</f>
        <v>0</v>
      </c>
      <c r="G21" s="13">
        <f>SUMIF('E1 · Captura'!J7:J500,"Fase 2",'E1 · Captura'!S7:S500)+SUMIF('E2 · Validación IA'!J7:J500,"Fase 2",'E2 · Validación IA'!S7:S500)+SUMIF('E3 · Envío'!J7:J500,"Fase 2",'E3 · Envío'!S7:S500)+SUMIF('E4 · Glosas'!J7:J500,"Fase 2",'E4 · Glosas'!S7:S500)+SUMIF('E5 · Apelación'!J7:J500,"Fase 2",'E5 · Apelación'!S7:S500)+SUMIF('E6 · Pago y Cierre'!J7:J500,"Fase 2",'E6 · Pago y Cierre'!S7:S500)</f>
        <v>65</v>
      </c>
      <c r="H21" s="14">
        <f>IFERROR(E21/D21,0)</f>
        <v>1.5151515151515152E-2</v>
      </c>
    </row>
    <row r="22" spans="2:8" ht="19.5" customHeight="1" x14ac:dyDescent="0.25">
      <c r="B22" s="21" t="s">
        <v>21</v>
      </c>
      <c r="C22" s="13">
        <f>COUNTIF('E1 · Captura'!J7:J500,"Fase 3")+COUNTIF('E2 · Validación IA'!J7:J500,"Fase 3")+COUNTIF('E3 · Envío'!J7:J500,"Fase 3")+COUNTIF('E4 · Glosas'!J7:J500,"Fase 3")+COUNTIF('E5 · Apelación'!J7:J500,"Fase 3")+COUNTIF('E6 · Pago y Cierre'!J7:J500,"Fase 3")</f>
        <v>14</v>
      </c>
      <c r="D22" s="13">
        <f>SUMIF('E1 · Captura'!J7:J500,"Fase 3",'E1 · Captura'!N7:N500)+SUMIF('E2 · Validación IA'!J7:J500,"Fase 3",'E2 · Validación IA'!N7:N500)+SUMIF('E3 · Envío'!J7:J500,"Fase 3",'E3 · Envío'!N7:N500)+SUMIF('E4 · Glosas'!J7:J500,"Fase 3",'E4 · Glosas'!N7:N500)+SUMIF('E5 · Apelación'!J7:J500,"Fase 3",'E5 · Apelación'!N7:N500)+SUMIF('E6 · Pago y Cierre'!J7:J500,"Fase 3",'E6 · Pago y Cierre'!N7:N500)</f>
        <v>53</v>
      </c>
      <c r="E22" s="13">
        <f>SUMIF('E1 · Captura'!J7:J500,"Fase 3",'E1 · Captura'!O7:O500)+SUMIF('E2 · Validación IA'!J7:J500,"Fase 3",'E2 · Validación IA'!O7:O500)+SUMIF('E3 · Envío'!J7:J500,"Fase 3",'E3 · Envío'!O7:O500)+SUMIF('E4 · Glosas'!J7:J500,"Fase 3",'E4 · Glosas'!O7:O500)+SUMIF('E5 · Apelación'!J7:J500,"Fase 3",'E5 · Apelación'!O7:O500)+SUMIF('E6 · Pago y Cierre'!J7:J500,"Fase 3",'E6 · Pago y Cierre'!O7:O500)</f>
        <v>0</v>
      </c>
      <c r="F22" s="13">
        <f>SUMIF('E1 · Captura'!J7:J500,"Fase 3",'E1 · Captura'!R7:R500)+SUMIF('E2 · Validación IA'!J7:J500,"Fase 3",'E2 · Validación IA'!R7:R500)+SUMIF('E3 · Envío'!J7:J500,"Fase 3",'E3 · Envío'!R7:R500)+SUMIF('E4 · Glosas'!J7:J500,"Fase 3",'E4 · Glosas'!R7:R500)+SUMIF('E5 · Apelación'!J7:J500,"Fase 3",'E5 · Apelación'!R7:R500)+SUMIF('E6 · Pago y Cierre'!J7:J500,"Fase 3",'E6 · Pago y Cierre'!R7:R500)</f>
        <v>0</v>
      </c>
      <c r="G22" s="13">
        <f>SUMIF('E1 · Captura'!J7:J500,"Fase 3",'E1 · Captura'!S7:S500)+SUMIF('E2 · Validación IA'!J7:J500,"Fase 3",'E2 · Validación IA'!S7:S500)+SUMIF('E3 · Envío'!J7:J500,"Fase 3",'E3 · Envío'!S7:S500)+SUMIF('E4 · Glosas'!J7:J500,"Fase 3",'E4 · Glosas'!S7:S500)+SUMIF('E5 · Apelación'!J7:J500,"Fase 3",'E5 · Apelación'!S7:S500)+SUMIF('E6 · Pago y Cierre'!J7:J500,"Fase 3",'E6 · Pago y Cierre'!S7:S500)</f>
        <v>53</v>
      </c>
      <c r="H22" s="14">
        <f>IFERROR(E22/D22,0)</f>
        <v>0</v>
      </c>
    </row>
    <row r="24" spans="2:8" ht="25.5" customHeight="1" x14ac:dyDescent="0.25">
      <c r="B24" s="5" t="str">
        <f>CONCATENATE("▶ Avance de la fase DEMO: ",TEXT(H20,"0%")," — ",E20," de ",D20," subtareas completadas (",F20," en progreso, ",G20," pendientes)")</f>
        <v>▶ Avance de la fase DEMO: 41% — 28 de 68 subtareas completadas (26 en progreso, 14 pendientes)</v>
      </c>
      <c r="C24" s="5"/>
      <c r="D24" s="5"/>
      <c r="E24" s="5"/>
      <c r="F24" s="5"/>
      <c r="G24" s="5"/>
      <c r="H24" s="5"/>
    </row>
  </sheetData>
  <mergeCells count="4">
    <mergeCell ref="B2:I2"/>
    <mergeCell ref="B3:I3"/>
    <mergeCell ref="B18:H18"/>
    <mergeCell ref="B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1"/>
  <sheetViews>
    <sheetView showGridLines="0" zoomScale="130" zoomScaleNormal="130" workbookViewId="0">
      <pane ySplit="6" topLeftCell="A61" activePane="bottomLeft" state="frozen"/>
      <selection pane="bottomLeft" activeCell="F68" sqref="F68"/>
    </sheetView>
  </sheetViews>
  <sheetFormatPr baseColWidth="10" defaultColWidth="8.7109375" defaultRowHeight="15" x14ac:dyDescent="0.25"/>
  <cols>
    <col min="1" max="1" width="2" customWidth="1"/>
    <col min="2" max="2" width="4" customWidth="1"/>
    <col min="3" max="3" width="3" customWidth="1"/>
    <col min="4" max="4" width="12" customWidth="1"/>
    <col min="5" max="5" width="30" customWidth="1"/>
    <col min="6" max="6" width="34" customWidth="1"/>
    <col min="7" max="7" width="19" customWidth="1"/>
    <col min="8" max="8" width="11" customWidth="1"/>
    <col min="9" max="9" width="15" customWidth="1"/>
    <col min="10" max="10" width="9" customWidth="1"/>
    <col min="11" max="11" width="15" customWidth="1"/>
    <col min="12" max="13" width="11" customWidth="1"/>
    <col min="14" max="14" width="9" customWidth="1"/>
    <col min="15" max="15" width="10" customWidth="1"/>
    <col min="16" max="16" width="9" customWidth="1"/>
    <col min="17" max="17" width="40" customWidth="1"/>
    <col min="18" max="19" width="13" hidden="1" customWidth="1"/>
  </cols>
  <sheetData>
    <row r="1" spans="1:19" ht="7.5" customHeight="1" x14ac:dyDescent="0.25"/>
    <row r="2" spans="1:19" ht="39.75" customHeight="1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9" ht="19.5" customHeight="1" x14ac:dyDescent="0.25">
      <c r="A3" s="5" t="s">
        <v>23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9" ht="42" customHeight="1" x14ac:dyDescent="0.25">
      <c r="A4" s="4" t="s">
        <v>24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9" ht="6" customHeight="1" x14ac:dyDescent="0.25"/>
    <row r="6" spans="1:19" ht="25.5" customHeight="1" x14ac:dyDescent="0.25">
      <c r="A6" s="11"/>
      <c r="B6" s="11" t="s">
        <v>25</v>
      </c>
      <c r="C6" s="11"/>
      <c r="D6" s="11" t="s">
        <v>26</v>
      </c>
      <c r="E6" s="11" t="s">
        <v>27</v>
      </c>
      <c r="F6" s="11" t="s">
        <v>28</v>
      </c>
      <c r="G6" s="11" t="s">
        <v>29</v>
      </c>
      <c r="H6" s="11" t="s">
        <v>30</v>
      </c>
      <c r="I6" s="11" t="s">
        <v>31</v>
      </c>
      <c r="J6" s="11" t="s">
        <v>18</v>
      </c>
      <c r="K6" s="11" t="s">
        <v>32</v>
      </c>
      <c r="L6" s="11" t="s">
        <v>33</v>
      </c>
      <c r="M6" s="11" t="s">
        <v>34</v>
      </c>
      <c r="N6" s="11" t="s">
        <v>35</v>
      </c>
      <c r="O6" s="11" t="s">
        <v>36</v>
      </c>
      <c r="P6" s="11" t="s">
        <v>9</v>
      </c>
      <c r="Q6" s="11" t="s">
        <v>37</v>
      </c>
    </row>
    <row r="7" spans="1:19" ht="33.75" customHeight="1" x14ac:dyDescent="0.25">
      <c r="B7" s="22"/>
      <c r="C7" s="22"/>
      <c r="D7" s="23" t="s">
        <v>38</v>
      </c>
      <c r="E7" s="24" t="s">
        <v>39</v>
      </c>
      <c r="F7" s="25" t="s">
        <v>40</v>
      </c>
      <c r="G7" s="26" t="s">
        <v>41</v>
      </c>
      <c r="H7" s="27" t="s">
        <v>42</v>
      </c>
      <c r="I7" s="28" t="s">
        <v>5</v>
      </c>
      <c r="J7" s="10" t="s">
        <v>19</v>
      </c>
      <c r="K7" s="29" t="s">
        <v>43</v>
      </c>
      <c r="L7" s="29"/>
      <c r="M7" s="29"/>
      <c r="N7" s="30">
        <f>COUNTIF(F9:F15,"Pendiente")+COUNTIF(F9:F15,"En Progreso")+COUNTIF(F9:F15,"En Revisión")+COUNTIF(F9:F15,"Completado")+COUNTIF(F9:F15,"Bloqueado")</f>
        <v>7</v>
      </c>
      <c r="O7" s="30">
        <f>COUNTIF(F9:F15,"Completado")</f>
        <v>2</v>
      </c>
      <c r="P7" s="31">
        <f>IFERROR(O7/N7,0)</f>
        <v>0.2857142857142857</v>
      </c>
      <c r="Q7" s="32" t="s">
        <v>44</v>
      </c>
      <c r="R7">
        <f>COUNTIF(F9:F15,"En Progreso")</f>
        <v>2</v>
      </c>
      <c r="S7">
        <f>COUNTIF(F9:F15,"Pendiente")</f>
        <v>3</v>
      </c>
    </row>
    <row r="8" spans="1:19" ht="15.75" customHeight="1" x14ac:dyDescent="0.25">
      <c r="B8" s="33"/>
      <c r="C8" s="33"/>
      <c r="D8" s="34" t="s">
        <v>45</v>
      </c>
      <c r="E8" s="35" t="s">
        <v>46</v>
      </c>
      <c r="F8" s="34" t="s">
        <v>31</v>
      </c>
      <c r="G8" s="34" t="s">
        <v>32</v>
      </c>
      <c r="H8" s="34" t="s">
        <v>34</v>
      </c>
      <c r="I8" s="34" t="s">
        <v>47</v>
      </c>
      <c r="J8" s="33"/>
      <c r="K8" s="33"/>
      <c r="L8" s="33"/>
      <c r="M8" s="33"/>
      <c r="N8" s="33"/>
      <c r="O8" s="33"/>
      <c r="P8" s="33"/>
      <c r="Q8" s="33"/>
    </row>
    <row r="9" spans="1:19" ht="15" customHeight="1" x14ac:dyDescent="0.25">
      <c r="B9" s="36"/>
      <c r="C9" s="36"/>
      <c r="D9" s="37" t="s">
        <v>38</v>
      </c>
      <c r="E9" s="38" t="s">
        <v>48</v>
      </c>
      <c r="F9" s="28" t="s">
        <v>49</v>
      </c>
      <c r="G9" s="39" t="s">
        <v>50</v>
      </c>
      <c r="H9" s="40"/>
      <c r="I9" s="41" t="s">
        <v>51</v>
      </c>
      <c r="J9" s="36"/>
      <c r="K9" s="36"/>
      <c r="L9" s="36"/>
      <c r="M9" s="36"/>
      <c r="N9" s="36"/>
      <c r="O9" s="36"/>
      <c r="P9" s="36"/>
      <c r="Q9" s="36"/>
    </row>
    <row r="10" spans="1:19" ht="15" customHeight="1" x14ac:dyDescent="0.25">
      <c r="B10" s="36"/>
      <c r="C10" s="36"/>
      <c r="D10" s="37" t="s">
        <v>38</v>
      </c>
      <c r="E10" s="38" t="s">
        <v>52</v>
      </c>
      <c r="F10" s="28" t="s">
        <v>49</v>
      </c>
      <c r="G10" s="39" t="s">
        <v>53</v>
      </c>
      <c r="H10" s="40"/>
      <c r="I10" s="41" t="s">
        <v>54</v>
      </c>
      <c r="J10" s="36"/>
      <c r="K10" s="36"/>
      <c r="L10" s="36"/>
      <c r="M10" s="36"/>
      <c r="N10" s="36"/>
      <c r="O10" s="36"/>
      <c r="P10" s="36"/>
      <c r="Q10" s="36"/>
    </row>
    <row r="11" spans="1:19" ht="15" customHeight="1" x14ac:dyDescent="0.25">
      <c r="B11" s="36"/>
      <c r="C11" s="36"/>
      <c r="D11" s="37" t="s">
        <v>38</v>
      </c>
      <c r="E11" s="38" t="s">
        <v>55</v>
      </c>
      <c r="F11" s="28" t="s">
        <v>5</v>
      </c>
      <c r="G11" s="39" t="s">
        <v>56</v>
      </c>
      <c r="H11" s="40"/>
      <c r="I11" s="41" t="s">
        <v>57</v>
      </c>
      <c r="J11" s="36"/>
      <c r="K11" s="36"/>
      <c r="L11" s="36"/>
      <c r="M11" s="36"/>
      <c r="N11" s="36"/>
      <c r="O11" s="36"/>
      <c r="P11" s="36"/>
      <c r="Q11" s="36"/>
    </row>
    <row r="12" spans="1:19" ht="15" customHeight="1" x14ac:dyDescent="0.25">
      <c r="B12" s="36"/>
      <c r="C12" s="36"/>
      <c r="D12" s="37" t="s">
        <v>38</v>
      </c>
      <c r="E12" s="38" t="s">
        <v>58</v>
      </c>
      <c r="F12" s="28" t="s">
        <v>5</v>
      </c>
      <c r="G12" s="39" t="s">
        <v>53</v>
      </c>
      <c r="H12" s="40"/>
      <c r="I12" s="41" t="s">
        <v>59</v>
      </c>
      <c r="J12" s="36"/>
      <c r="K12" s="36"/>
      <c r="L12" s="36"/>
      <c r="M12" s="36"/>
      <c r="N12" s="36"/>
      <c r="O12" s="36"/>
      <c r="P12" s="36"/>
      <c r="Q12" s="36"/>
    </row>
    <row r="13" spans="1:19" ht="15" customHeight="1" x14ac:dyDescent="0.25">
      <c r="B13" s="36"/>
      <c r="C13" s="36"/>
      <c r="D13" s="37" t="s">
        <v>38</v>
      </c>
      <c r="E13" s="38" t="s">
        <v>60</v>
      </c>
      <c r="F13" s="28" t="s">
        <v>61</v>
      </c>
      <c r="G13" s="39" t="s">
        <v>53</v>
      </c>
      <c r="H13" s="40"/>
      <c r="I13" s="41" t="s">
        <v>62</v>
      </c>
      <c r="J13" s="36"/>
      <c r="K13" s="36"/>
      <c r="L13" s="36"/>
      <c r="M13" s="36"/>
      <c r="N13" s="36"/>
      <c r="O13" s="36"/>
      <c r="P13" s="36"/>
      <c r="Q13" s="36"/>
    </row>
    <row r="14" spans="1:19" ht="15" customHeight="1" x14ac:dyDescent="0.25">
      <c r="B14" s="36"/>
      <c r="C14" s="36"/>
      <c r="D14" s="37" t="s">
        <v>38</v>
      </c>
      <c r="E14" s="38" t="s">
        <v>63</v>
      </c>
      <c r="F14" s="28" t="s">
        <v>61</v>
      </c>
      <c r="G14" s="39" t="s">
        <v>53</v>
      </c>
      <c r="H14" s="40"/>
      <c r="I14" s="41" t="s">
        <v>64</v>
      </c>
      <c r="J14" s="36"/>
      <c r="K14" s="36"/>
      <c r="L14" s="36"/>
      <c r="M14" s="36"/>
      <c r="N14" s="36"/>
      <c r="O14" s="36"/>
      <c r="P14" s="36"/>
      <c r="Q14" s="36"/>
    </row>
    <row r="15" spans="1:19" ht="15" customHeight="1" x14ac:dyDescent="0.25">
      <c r="B15" s="36"/>
      <c r="C15" s="36"/>
      <c r="D15" s="37" t="s">
        <v>38</v>
      </c>
      <c r="E15" s="38" t="s">
        <v>65</v>
      </c>
      <c r="F15" s="28" t="s">
        <v>61</v>
      </c>
      <c r="G15" s="39" t="s">
        <v>66</v>
      </c>
      <c r="H15" s="40"/>
      <c r="I15" s="41" t="s">
        <v>67</v>
      </c>
      <c r="J15" s="36"/>
      <c r="K15" s="36"/>
      <c r="L15" s="36"/>
      <c r="M15" s="36"/>
      <c r="N15" s="36"/>
      <c r="O15" s="36"/>
      <c r="P15" s="36"/>
      <c r="Q15" s="36"/>
    </row>
    <row r="16" spans="1:19" ht="33.75" customHeight="1" x14ac:dyDescent="0.25">
      <c r="B16" s="22"/>
      <c r="C16" s="22"/>
      <c r="D16" s="23" t="s">
        <v>68</v>
      </c>
      <c r="E16" s="24" t="s">
        <v>69</v>
      </c>
      <c r="F16" s="25" t="s">
        <v>70</v>
      </c>
      <c r="G16" s="26" t="s">
        <v>41</v>
      </c>
      <c r="H16" s="27" t="s">
        <v>42</v>
      </c>
      <c r="I16" s="28" t="s">
        <v>5</v>
      </c>
      <c r="J16" s="10" t="s">
        <v>19</v>
      </c>
      <c r="K16" s="29" t="s">
        <v>56</v>
      </c>
      <c r="L16" s="29"/>
      <c r="M16" s="29"/>
      <c r="N16" s="30">
        <f>COUNTIF(F18:F22,"Pendiente")+COUNTIF(F18:F22,"En Progreso")+COUNTIF(F18:F22,"En Revisión")+COUNTIF(F18:F22,"Completado")+COUNTIF(F18:F22,"Bloqueado")</f>
        <v>5</v>
      </c>
      <c r="O16" s="30">
        <f>COUNTIF(F18:F22,"Completado")</f>
        <v>2</v>
      </c>
      <c r="P16" s="31">
        <f>IFERROR(O16/N16,0)</f>
        <v>0.4</v>
      </c>
      <c r="Q16" s="32"/>
      <c r="R16">
        <f>COUNTIF(F18:F22,"En Progreso")</f>
        <v>3</v>
      </c>
      <c r="S16">
        <f>COUNTIF(F18:F22,"Pendiente")</f>
        <v>0</v>
      </c>
    </row>
    <row r="17" spans="2:19" ht="15.75" customHeight="1" x14ac:dyDescent="0.25">
      <c r="B17" s="33"/>
      <c r="C17" s="33"/>
      <c r="D17" s="34" t="s">
        <v>45</v>
      </c>
      <c r="E17" s="35" t="s">
        <v>46</v>
      </c>
      <c r="F17" s="34" t="s">
        <v>31</v>
      </c>
      <c r="G17" s="34" t="s">
        <v>32</v>
      </c>
      <c r="H17" s="34" t="s">
        <v>34</v>
      </c>
      <c r="I17" s="34" t="s">
        <v>47</v>
      </c>
      <c r="J17" s="33"/>
      <c r="K17" s="33"/>
      <c r="L17" s="33"/>
      <c r="M17" s="33"/>
      <c r="N17" s="33"/>
      <c r="O17" s="33"/>
      <c r="P17" s="33"/>
      <c r="Q17" s="33"/>
    </row>
    <row r="18" spans="2:19" ht="15" customHeight="1" x14ac:dyDescent="0.25">
      <c r="B18" s="36"/>
      <c r="C18" s="36"/>
      <c r="D18" s="37" t="s">
        <v>68</v>
      </c>
      <c r="E18" s="38" t="s">
        <v>71</v>
      </c>
      <c r="F18" s="28" t="s">
        <v>5</v>
      </c>
      <c r="G18" s="39" t="s">
        <v>56</v>
      </c>
      <c r="H18" s="40"/>
      <c r="I18" s="41" t="s">
        <v>72</v>
      </c>
      <c r="J18" s="36"/>
      <c r="K18" s="36"/>
      <c r="L18" s="36"/>
      <c r="M18" s="36"/>
      <c r="N18" s="36"/>
      <c r="O18" s="36"/>
      <c r="P18" s="36"/>
      <c r="Q18" s="36"/>
    </row>
    <row r="19" spans="2:19" ht="15" customHeight="1" x14ac:dyDescent="0.25">
      <c r="B19" s="36"/>
      <c r="C19" s="36"/>
      <c r="D19" s="37" t="s">
        <v>68</v>
      </c>
      <c r="E19" s="38" t="s">
        <v>73</v>
      </c>
      <c r="F19" s="28" t="s">
        <v>5</v>
      </c>
      <c r="G19" s="39" t="s">
        <v>56</v>
      </c>
      <c r="H19" s="40"/>
      <c r="I19" s="41"/>
      <c r="J19" s="36"/>
      <c r="K19" s="36"/>
      <c r="L19" s="36"/>
      <c r="M19" s="36"/>
      <c r="N19" s="36"/>
      <c r="O19" s="36"/>
      <c r="P19" s="36"/>
      <c r="Q19" s="36"/>
    </row>
    <row r="20" spans="2:19" ht="15" customHeight="1" x14ac:dyDescent="0.25">
      <c r="B20" s="36"/>
      <c r="C20" s="36"/>
      <c r="D20" s="37" t="s">
        <v>68</v>
      </c>
      <c r="E20" s="38" t="s">
        <v>74</v>
      </c>
      <c r="F20" s="28" t="s">
        <v>5</v>
      </c>
      <c r="G20" s="39" t="s">
        <v>56</v>
      </c>
      <c r="H20" s="40"/>
      <c r="I20" s="41"/>
      <c r="J20" s="36"/>
      <c r="K20" s="36"/>
      <c r="L20" s="36"/>
      <c r="M20" s="36"/>
      <c r="N20" s="36"/>
      <c r="O20" s="36"/>
      <c r="P20" s="36"/>
      <c r="Q20" s="36"/>
    </row>
    <row r="21" spans="2:19" ht="15" customHeight="1" x14ac:dyDescent="0.25">
      <c r="B21" s="36"/>
      <c r="C21" s="36"/>
      <c r="D21" s="37" t="s">
        <v>68</v>
      </c>
      <c r="E21" s="38" t="s">
        <v>75</v>
      </c>
      <c r="F21" s="28" t="s">
        <v>49</v>
      </c>
      <c r="G21" s="39" t="s">
        <v>56</v>
      </c>
      <c r="H21" s="40"/>
      <c r="I21" s="41"/>
      <c r="J21" s="36"/>
      <c r="K21" s="36"/>
      <c r="L21" s="36"/>
      <c r="M21" s="36"/>
      <c r="N21" s="36"/>
      <c r="O21" s="36"/>
      <c r="P21" s="36"/>
      <c r="Q21" s="36"/>
    </row>
    <row r="22" spans="2:19" ht="15" customHeight="1" x14ac:dyDescent="0.25">
      <c r="B22" s="36"/>
      <c r="C22" s="36"/>
      <c r="D22" s="37" t="s">
        <v>68</v>
      </c>
      <c r="E22" s="38" t="s">
        <v>76</v>
      </c>
      <c r="F22" s="28" t="s">
        <v>49</v>
      </c>
      <c r="G22" s="39" t="s">
        <v>50</v>
      </c>
      <c r="H22" s="40"/>
      <c r="I22" s="41"/>
      <c r="J22" s="36"/>
      <c r="K22" s="36"/>
      <c r="L22" s="36"/>
      <c r="M22" s="36"/>
      <c r="N22" s="36"/>
      <c r="O22" s="36"/>
      <c r="P22" s="36"/>
      <c r="Q22" s="36"/>
    </row>
    <row r="23" spans="2:19" ht="33.75" customHeight="1" x14ac:dyDescent="0.25">
      <c r="B23" s="22"/>
      <c r="C23" s="22"/>
      <c r="D23" s="23" t="s">
        <v>77</v>
      </c>
      <c r="E23" s="24" t="s">
        <v>78</v>
      </c>
      <c r="F23" s="25" t="s">
        <v>79</v>
      </c>
      <c r="G23" s="26" t="s">
        <v>41</v>
      </c>
      <c r="H23" s="27" t="s">
        <v>42</v>
      </c>
      <c r="I23" s="28" t="s">
        <v>5</v>
      </c>
      <c r="J23" s="10" t="s">
        <v>19</v>
      </c>
      <c r="K23" s="29" t="s">
        <v>50</v>
      </c>
      <c r="L23" s="29"/>
      <c r="M23" s="29"/>
      <c r="N23" s="30">
        <f>COUNTIF(F25:F28,"Pendiente")+COUNTIF(F25:F28,"En Progreso")+COUNTIF(F25:F28,"En Revisión")+COUNTIF(F25:F28,"Completado")+COUNTIF(F25:F28,"Bloqueado")</f>
        <v>4</v>
      </c>
      <c r="O23" s="30">
        <f>COUNTIF(F25:F28,"Completado")</f>
        <v>2</v>
      </c>
      <c r="P23" s="31">
        <f>IFERROR(O23/N23,0)</f>
        <v>0.5</v>
      </c>
      <c r="Q23" s="32"/>
      <c r="R23">
        <f>COUNTIF(F25:F28,"En Progreso")</f>
        <v>2</v>
      </c>
      <c r="S23">
        <f>COUNTIF(F25:F28,"Pendiente")</f>
        <v>0</v>
      </c>
    </row>
    <row r="24" spans="2:19" ht="15.75" customHeight="1" x14ac:dyDescent="0.25">
      <c r="B24" s="33"/>
      <c r="C24" s="33"/>
      <c r="D24" s="34" t="s">
        <v>45</v>
      </c>
      <c r="E24" s="35" t="s">
        <v>46</v>
      </c>
      <c r="F24" s="34" t="s">
        <v>31</v>
      </c>
      <c r="G24" s="34" t="s">
        <v>32</v>
      </c>
      <c r="H24" s="34" t="s">
        <v>34</v>
      </c>
      <c r="I24" s="34" t="s">
        <v>47</v>
      </c>
      <c r="J24" s="33"/>
      <c r="K24" s="33"/>
      <c r="L24" s="33"/>
      <c r="M24" s="33"/>
      <c r="N24" s="33"/>
      <c r="O24" s="33"/>
      <c r="P24" s="33"/>
      <c r="Q24" s="33"/>
    </row>
    <row r="25" spans="2:19" ht="15" customHeight="1" x14ac:dyDescent="0.25">
      <c r="B25" s="36"/>
      <c r="C25" s="36"/>
      <c r="D25" s="37" t="s">
        <v>77</v>
      </c>
      <c r="E25" s="38" t="s">
        <v>80</v>
      </c>
      <c r="F25" s="28" t="s">
        <v>49</v>
      </c>
      <c r="G25" s="39" t="s">
        <v>50</v>
      </c>
      <c r="H25" s="40"/>
      <c r="I25" s="41"/>
      <c r="J25" s="36"/>
      <c r="K25" s="36"/>
      <c r="L25" s="36"/>
      <c r="M25" s="36"/>
      <c r="N25" s="36"/>
      <c r="O25" s="36"/>
      <c r="P25" s="36"/>
      <c r="Q25" s="36"/>
    </row>
    <row r="26" spans="2:19" ht="15" customHeight="1" x14ac:dyDescent="0.25">
      <c r="B26" s="36"/>
      <c r="C26" s="36"/>
      <c r="D26" s="37" t="s">
        <v>77</v>
      </c>
      <c r="E26" s="38" t="s">
        <v>81</v>
      </c>
      <c r="F26" s="28" t="s">
        <v>49</v>
      </c>
      <c r="G26" s="39" t="s">
        <v>50</v>
      </c>
      <c r="H26" s="40"/>
      <c r="I26" s="41"/>
      <c r="J26" s="36"/>
      <c r="K26" s="36"/>
      <c r="L26" s="36"/>
      <c r="M26" s="36"/>
      <c r="N26" s="36"/>
      <c r="O26" s="36"/>
      <c r="P26" s="36"/>
      <c r="Q26" s="36"/>
    </row>
    <row r="27" spans="2:19" ht="15" customHeight="1" x14ac:dyDescent="0.25">
      <c r="B27" s="36"/>
      <c r="C27" s="36"/>
      <c r="D27" s="37" t="s">
        <v>77</v>
      </c>
      <c r="E27" s="38" t="s">
        <v>82</v>
      </c>
      <c r="F27" s="28" t="s">
        <v>5</v>
      </c>
      <c r="G27" s="39" t="s">
        <v>50</v>
      </c>
      <c r="H27" s="40"/>
      <c r="I27" s="41" t="s">
        <v>83</v>
      </c>
      <c r="J27" s="36"/>
      <c r="K27" s="36"/>
      <c r="L27" s="36"/>
      <c r="M27" s="36"/>
      <c r="N27" s="36"/>
      <c r="O27" s="36"/>
      <c r="P27" s="36"/>
      <c r="Q27" s="36"/>
    </row>
    <row r="28" spans="2:19" ht="15" customHeight="1" x14ac:dyDescent="0.25">
      <c r="B28" s="36"/>
      <c r="C28" s="36"/>
      <c r="D28" s="37" t="s">
        <v>77</v>
      </c>
      <c r="E28" s="38" t="s">
        <v>84</v>
      </c>
      <c r="F28" s="28" t="s">
        <v>5</v>
      </c>
      <c r="G28" s="39" t="s">
        <v>50</v>
      </c>
      <c r="H28" s="40"/>
      <c r="I28" s="41" t="s">
        <v>85</v>
      </c>
      <c r="J28" s="36"/>
      <c r="K28" s="36"/>
      <c r="L28" s="36"/>
      <c r="M28" s="36"/>
      <c r="N28" s="36"/>
      <c r="O28" s="36"/>
      <c r="P28" s="36"/>
      <c r="Q28" s="36"/>
    </row>
    <row r="29" spans="2:19" ht="33.75" customHeight="1" x14ac:dyDescent="0.25">
      <c r="B29" s="22"/>
      <c r="C29" s="22"/>
      <c r="D29" s="23" t="s">
        <v>86</v>
      </c>
      <c r="E29" s="24" t="s">
        <v>87</v>
      </c>
      <c r="F29" s="25" t="s">
        <v>88</v>
      </c>
      <c r="G29" s="26" t="s">
        <v>41</v>
      </c>
      <c r="H29" s="27" t="s">
        <v>42</v>
      </c>
      <c r="I29" s="28" t="s">
        <v>5</v>
      </c>
      <c r="J29" s="10" t="s">
        <v>19</v>
      </c>
      <c r="K29" s="29" t="s">
        <v>89</v>
      </c>
      <c r="L29" s="29"/>
      <c r="M29" s="29"/>
      <c r="N29" s="30">
        <f>COUNTIF(F31:F34,"Pendiente")+COUNTIF(F31:F34,"En Progreso")+COUNTIF(F31:F34,"En Revisión")+COUNTIF(F31:F34,"Completado")+COUNTIF(F31:F34,"Bloqueado")</f>
        <v>4</v>
      </c>
      <c r="O29" s="30">
        <f>COUNTIF(F31:F34,"Completado")</f>
        <v>0</v>
      </c>
      <c r="P29" s="31">
        <f>IFERROR(O29/N29,0)</f>
        <v>0</v>
      </c>
      <c r="Q29" s="32" t="s">
        <v>90</v>
      </c>
      <c r="R29">
        <f>COUNTIF(F31:F34,"En Progreso")</f>
        <v>3</v>
      </c>
      <c r="S29">
        <f>COUNTIF(F31:F34,"Pendiente")</f>
        <v>1</v>
      </c>
    </row>
    <row r="30" spans="2:19" ht="15.75" customHeight="1" x14ac:dyDescent="0.25">
      <c r="B30" s="33"/>
      <c r="C30" s="33"/>
      <c r="D30" s="34" t="s">
        <v>45</v>
      </c>
      <c r="E30" s="35" t="s">
        <v>46</v>
      </c>
      <c r="F30" s="34" t="s">
        <v>31</v>
      </c>
      <c r="G30" s="34" t="s">
        <v>32</v>
      </c>
      <c r="H30" s="34" t="s">
        <v>34</v>
      </c>
      <c r="I30" s="34" t="s">
        <v>47</v>
      </c>
      <c r="J30" s="33"/>
      <c r="K30" s="33"/>
      <c r="L30" s="33"/>
      <c r="M30" s="33"/>
      <c r="N30" s="33"/>
      <c r="O30" s="33"/>
      <c r="P30" s="33"/>
      <c r="Q30" s="33"/>
    </row>
    <row r="31" spans="2:19" ht="15" customHeight="1" x14ac:dyDescent="0.25">
      <c r="B31" s="36"/>
      <c r="C31" s="36"/>
      <c r="D31" s="37" t="s">
        <v>86</v>
      </c>
      <c r="E31" s="38" t="s">
        <v>91</v>
      </c>
      <c r="F31" s="28" t="s">
        <v>5</v>
      </c>
      <c r="G31" s="39" t="s">
        <v>56</v>
      </c>
      <c r="H31" s="40"/>
      <c r="I31" s="41" t="s">
        <v>92</v>
      </c>
      <c r="J31" s="36"/>
      <c r="K31" s="36"/>
      <c r="L31" s="36"/>
      <c r="M31" s="36"/>
      <c r="N31" s="36"/>
      <c r="O31" s="36"/>
      <c r="P31" s="36"/>
      <c r="Q31" s="36"/>
    </row>
    <row r="32" spans="2:19" ht="15" customHeight="1" x14ac:dyDescent="0.25">
      <c r="B32" s="36"/>
      <c r="C32" s="36"/>
      <c r="D32" s="37" t="s">
        <v>86</v>
      </c>
      <c r="E32" s="38" t="s">
        <v>93</v>
      </c>
      <c r="F32" s="28" t="s">
        <v>5</v>
      </c>
      <c r="G32" s="39" t="s">
        <v>56</v>
      </c>
      <c r="H32" s="40"/>
      <c r="I32" s="41" t="s">
        <v>92</v>
      </c>
      <c r="J32" s="36"/>
      <c r="K32" s="36"/>
      <c r="L32" s="36"/>
      <c r="M32" s="36"/>
      <c r="N32" s="36"/>
      <c r="O32" s="36"/>
      <c r="P32" s="36"/>
      <c r="Q32" s="36"/>
    </row>
    <row r="33" spans="2:19" ht="15" customHeight="1" x14ac:dyDescent="0.25">
      <c r="B33" s="36"/>
      <c r="C33" s="36"/>
      <c r="D33" s="37" t="s">
        <v>86</v>
      </c>
      <c r="E33" s="38" t="s">
        <v>94</v>
      </c>
      <c r="F33" s="28" t="s">
        <v>5</v>
      </c>
      <c r="G33" s="39" t="s">
        <v>50</v>
      </c>
      <c r="H33" s="40"/>
      <c r="I33" s="41"/>
      <c r="J33" s="36"/>
      <c r="K33" s="36"/>
      <c r="L33" s="36"/>
      <c r="M33" s="36"/>
      <c r="N33" s="36"/>
      <c r="O33" s="36"/>
      <c r="P33" s="36"/>
      <c r="Q33" s="36"/>
    </row>
    <row r="34" spans="2:19" ht="15" customHeight="1" x14ac:dyDescent="0.25">
      <c r="B34" s="36"/>
      <c r="C34" s="36"/>
      <c r="D34" s="37" t="s">
        <v>86</v>
      </c>
      <c r="E34" s="38" t="s">
        <v>95</v>
      </c>
      <c r="F34" s="28" t="s">
        <v>61</v>
      </c>
      <c r="G34" s="39" t="s">
        <v>56</v>
      </c>
      <c r="H34" s="40"/>
      <c r="I34" s="41"/>
      <c r="J34" s="36"/>
      <c r="K34" s="36"/>
      <c r="L34" s="36"/>
      <c r="M34" s="36"/>
      <c r="N34" s="36"/>
      <c r="O34" s="36"/>
      <c r="P34" s="36"/>
      <c r="Q34" s="36"/>
    </row>
    <row r="35" spans="2:19" ht="33.75" customHeight="1" x14ac:dyDescent="0.25">
      <c r="B35" s="22"/>
      <c r="C35" s="22"/>
      <c r="D35" s="23" t="s">
        <v>96</v>
      </c>
      <c r="E35" s="24" t="s">
        <v>97</v>
      </c>
      <c r="F35" s="25" t="s">
        <v>98</v>
      </c>
      <c r="G35" s="26" t="s">
        <v>99</v>
      </c>
      <c r="H35" s="27" t="s">
        <v>42</v>
      </c>
      <c r="I35" s="28" t="s">
        <v>5</v>
      </c>
      <c r="J35" s="10" t="s">
        <v>19</v>
      </c>
      <c r="K35" s="29" t="s">
        <v>50</v>
      </c>
      <c r="L35" s="29"/>
      <c r="M35" s="29"/>
      <c r="N35" s="30">
        <f>COUNTIF(F37:F41,"Pendiente")+COUNTIF(F37:F41,"En Progreso")+COUNTIF(F37:F41,"En Revisión")+COUNTIF(F37:F41,"Completado")+COUNTIF(F37:F41,"Bloqueado")</f>
        <v>5</v>
      </c>
      <c r="O35" s="30">
        <f>COUNTIF(F37:F41,"Completado")</f>
        <v>1</v>
      </c>
      <c r="P35" s="31">
        <f>IFERROR(O35/N35,0)</f>
        <v>0.2</v>
      </c>
      <c r="Q35" s="32"/>
      <c r="R35">
        <f>COUNTIF(F37:F41,"En Progreso")</f>
        <v>0</v>
      </c>
      <c r="S35">
        <f>COUNTIF(F37:F41,"Pendiente")</f>
        <v>4</v>
      </c>
    </row>
    <row r="36" spans="2:19" ht="15.75" customHeight="1" x14ac:dyDescent="0.25">
      <c r="B36" s="33"/>
      <c r="C36" s="33"/>
      <c r="D36" s="34" t="s">
        <v>45</v>
      </c>
      <c r="E36" s="35" t="s">
        <v>46</v>
      </c>
      <c r="F36" s="34" t="s">
        <v>31</v>
      </c>
      <c r="G36" s="34" t="s">
        <v>32</v>
      </c>
      <c r="H36" s="34" t="s">
        <v>34</v>
      </c>
      <c r="I36" s="34" t="s">
        <v>47</v>
      </c>
      <c r="J36" s="33"/>
      <c r="K36" s="33"/>
      <c r="L36" s="33"/>
      <c r="M36" s="33"/>
      <c r="N36" s="33"/>
      <c r="O36" s="33"/>
      <c r="P36" s="33"/>
      <c r="Q36" s="33"/>
    </row>
    <row r="37" spans="2:19" ht="15" customHeight="1" x14ac:dyDescent="0.25">
      <c r="B37" s="36"/>
      <c r="C37" s="36"/>
      <c r="D37" s="37" t="s">
        <v>96</v>
      </c>
      <c r="E37" s="38" t="s">
        <v>100</v>
      </c>
      <c r="F37" s="28" t="s">
        <v>49</v>
      </c>
      <c r="G37" s="39" t="s">
        <v>50</v>
      </c>
      <c r="H37" s="40"/>
      <c r="I37" s="41" t="s">
        <v>101</v>
      </c>
      <c r="J37" s="36"/>
      <c r="K37" s="36"/>
      <c r="L37" s="36"/>
      <c r="M37" s="36"/>
      <c r="N37" s="36"/>
      <c r="O37" s="36"/>
      <c r="P37" s="36"/>
      <c r="Q37" s="36"/>
    </row>
    <row r="38" spans="2:19" ht="15" customHeight="1" x14ac:dyDescent="0.25">
      <c r="B38" s="36"/>
      <c r="C38" s="36"/>
      <c r="D38" s="37" t="s">
        <v>96</v>
      </c>
      <c r="E38" s="38" t="s">
        <v>102</v>
      </c>
      <c r="F38" s="28" t="s">
        <v>61</v>
      </c>
      <c r="G38" s="39"/>
      <c r="H38" s="40"/>
      <c r="I38" s="41" t="s">
        <v>103</v>
      </c>
      <c r="J38" s="36"/>
      <c r="K38" s="36"/>
      <c r="L38" s="36"/>
      <c r="M38" s="36"/>
      <c r="N38" s="36"/>
      <c r="O38" s="36"/>
      <c r="P38" s="36"/>
      <c r="Q38" s="36"/>
    </row>
    <row r="39" spans="2:19" ht="15" customHeight="1" x14ac:dyDescent="0.25">
      <c r="B39" s="36"/>
      <c r="C39" s="36"/>
      <c r="D39" s="37" t="s">
        <v>96</v>
      </c>
      <c r="E39" s="38" t="s">
        <v>104</v>
      </c>
      <c r="F39" s="28" t="s">
        <v>61</v>
      </c>
      <c r="G39" s="39"/>
      <c r="H39" s="40"/>
      <c r="I39" s="41"/>
      <c r="J39" s="36"/>
      <c r="K39" s="36"/>
      <c r="L39" s="36"/>
      <c r="M39" s="36"/>
      <c r="N39" s="36"/>
      <c r="O39" s="36"/>
      <c r="P39" s="36"/>
      <c r="Q39" s="36"/>
    </row>
    <row r="40" spans="2:19" ht="15" customHeight="1" x14ac:dyDescent="0.25">
      <c r="B40" s="36"/>
      <c r="C40" s="36"/>
      <c r="D40" s="37" t="s">
        <v>96</v>
      </c>
      <c r="E40" s="38" t="s">
        <v>105</v>
      </c>
      <c r="F40" s="28" t="s">
        <v>61</v>
      </c>
      <c r="G40" s="39"/>
      <c r="H40" s="40"/>
      <c r="I40" s="41"/>
      <c r="J40" s="36"/>
      <c r="K40" s="36"/>
      <c r="L40" s="36"/>
      <c r="M40" s="36"/>
      <c r="N40" s="36"/>
      <c r="O40" s="36"/>
      <c r="P40" s="36"/>
      <c r="Q40" s="36"/>
    </row>
    <row r="41" spans="2:19" ht="15" customHeight="1" x14ac:dyDescent="0.25">
      <c r="B41" s="36"/>
      <c r="C41" s="36"/>
      <c r="D41" s="37" t="s">
        <v>96</v>
      </c>
      <c r="E41" s="38" t="s">
        <v>106</v>
      </c>
      <c r="F41" s="28" t="s">
        <v>61</v>
      </c>
      <c r="G41" s="39"/>
      <c r="H41" s="40"/>
      <c r="I41" s="41"/>
      <c r="J41" s="36"/>
      <c r="K41" s="36"/>
      <c r="L41" s="36"/>
      <c r="M41" s="36"/>
      <c r="N41" s="36"/>
      <c r="O41" s="36"/>
      <c r="P41" s="36"/>
      <c r="Q41" s="36"/>
    </row>
    <row r="42" spans="2:19" ht="33.75" customHeight="1" x14ac:dyDescent="0.25">
      <c r="B42" s="22"/>
      <c r="C42" s="22"/>
      <c r="D42" s="23" t="s">
        <v>107</v>
      </c>
      <c r="E42" s="24" t="s">
        <v>108</v>
      </c>
      <c r="F42" s="25" t="s">
        <v>109</v>
      </c>
      <c r="G42" s="26" t="s">
        <v>110</v>
      </c>
      <c r="H42" s="27" t="s">
        <v>42</v>
      </c>
      <c r="I42" s="28" t="s">
        <v>5</v>
      </c>
      <c r="J42" s="10" t="s">
        <v>19</v>
      </c>
      <c r="K42" s="29" t="s">
        <v>50</v>
      </c>
      <c r="L42" s="29"/>
      <c r="M42" s="29"/>
      <c r="N42" s="30">
        <f>COUNTIF(F44:F47,"Pendiente")+COUNTIF(F44:F47,"En Progreso")+COUNTIF(F44:F47,"En Revisión")+COUNTIF(F44:F47,"Completado")+COUNTIF(F44:F47,"Bloqueado")</f>
        <v>4</v>
      </c>
      <c r="O42" s="30">
        <f>COUNTIF(F44:F47,"Completado")</f>
        <v>1</v>
      </c>
      <c r="P42" s="31">
        <f>IFERROR(O42/N42,0)</f>
        <v>0.25</v>
      </c>
      <c r="Q42" s="32"/>
      <c r="R42">
        <f>COUNTIF(F44:F47,"En Progreso")</f>
        <v>2</v>
      </c>
      <c r="S42">
        <f>COUNTIF(F44:F47,"Pendiente")</f>
        <v>1</v>
      </c>
    </row>
    <row r="43" spans="2:19" ht="15.75" customHeight="1" x14ac:dyDescent="0.25">
      <c r="B43" s="33"/>
      <c r="C43" s="33"/>
      <c r="D43" s="34" t="s">
        <v>45</v>
      </c>
      <c r="E43" s="35" t="s">
        <v>46</v>
      </c>
      <c r="F43" s="34" t="s">
        <v>31</v>
      </c>
      <c r="G43" s="34" t="s">
        <v>32</v>
      </c>
      <c r="H43" s="34" t="s">
        <v>34</v>
      </c>
      <c r="I43" s="34" t="s">
        <v>47</v>
      </c>
      <c r="J43" s="33"/>
      <c r="K43" s="33"/>
      <c r="L43" s="33"/>
      <c r="M43" s="33"/>
      <c r="N43" s="33"/>
      <c r="O43" s="33"/>
      <c r="P43" s="33"/>
      <c r="Q43" s="33"/>
    </row>
    <row r="44" spans="2:19" ht="15" customHeight="1" x14ac:dyDescent="0.25">
      <c r="B44" s="36"/>
      <c r="C44" s="36"/>
      <c r="D44" s="37" t="s">
        <v>107</v>
      </c>
      <c r="E44" s="38" t="s">
        <v>111</v>
      </c>
      <c r="F44" s="28" t="s">
        <v>49</v>
      </c>
      <c r="G44" s="39" t="s">
        <v>50</v>
      </c>
      <c r="H44" s="40"/>
      <c r="I44" s="41"/>
      <c r="J44" s="36"/>
      <c r="K44" s="36"/>
      <c r="L44" s="36"/>
      <c r="M44" s="36"/>
      <c r="N44" s="36"/>
      <c r="O44" s="36"/>
      <c r="P44" s="36"/>
      <c r="Q44" s="36"/>
    </row>
    <row r="45" spans="2:19" ht="15" customHeight="1" x14ac:dyDescent="0.25">
      <c r="B45" s="36"/>
      <c r="C45" s="36"/>
      <c r="D45" s="37" t="s">
        <v>107</v>
      </c>
      <c r="E45" s="38" t="s">
        <v>112</v>
      </c>
      <c r="F45" s="28" t="s">
        <v>5</v>
      </c>
      <c r="G45" s="39" t="s">
        <v>50</v>
      </c>
      <c r="H45" s="40"/>
      <c r="I45" s="41" t="s">
        <v>113</v>
      </c>
      <c r="J45" s="36"/>
      <c r="K45" s="36"/>
      <c r="L45" s="36"/>
      <c r="M45" s="36"/>
      <c r="N45" s="36"/>
      <c r="O45" s="36"/>
      <c r="P45" s="36"/>
      <c r="Q45" s="36"/>
    </row>
    <row r="46" spans="2:19" ht="15" customHeight="1" x14ac:dyDescent="0.25">
      <c r="B46" s="36"/>
      <c r="C46" s="36"/>
      <c r="D46" s="37" t="s">
        <v>107</v>
      </c>
      <c r="E46" s="38" t="s">
        <v>114</v>
      </c>
      <c r="F46" s="28" t="s">
        <v>5</v>
      </c>
      <c r="G46" s="39" t="s">
        <v>50</v>
      </c>
      <c r="H46" s="40"/>
      <c r="I46" s="41"/>
      <c r="J46" s="36"/>
      <c r="K46" s="36"/>
      <c r="L46" s="36"/>
      <c r="M46" s="36"/>
      <c r="N46" s="36"/>
      <c r="O46" s="36"/>
      <c r="P46" s="36"/>
      <c r="Q46" s="36"/>
    </row>
    <row r="47" spans="2:19" ht="15" customHeight="1" x14ac:dyDescent="0.25">
      <c r="B47" s="36"/>
      <c r="C47" s="36"/>
      <c r="D47" s="37" t="s">
        <v>107</v>
      </c>
      <c r="E47" s="38" t="s">
        <v>115</v>
      </c>
      <c r="F47" s="28" t="s">
        <v>61</v>
      </c>
      <c r="G47" s="39" t="s">
        <v>50</v>
      </c>
      <c r="H47" s="40"/>
      <c r="I47" s="41" t="s">
        <v>116</v>
      </c>
      <c r="J47" s="36"/>
      <c r="K47" s="36"/>
      <c r="L47" s="36"/>
      <c r="M47" s="36"/>
      <c r="N47" s="36"/>
      <c r="O47" s="36"/>
      <c r="P47" s="36"/>
      <c r="Q47" s="36"/>
    </row>
    <row r="48" spans="2:19" ht="33.75" customHeight="1" x14ac:dyDescent="0.25">
      <c r="B48" s="22"/>
      <c r="C48" s="22"/>
      <c r="D48" s="23" t="s">
        <v>117</v>
      </c>
      <c r="E48" s="24" t="s">
        <v>118</v>
      </c>
      <c r="F48" s="25" t="s">
        <v>119</v>
      </c>
      <c r="G48" s="26" t="s">
        <v>120</v>
      </c>
      <c r="H48" s="27" t="s">
        <v>42</v>
      </c>
      <c r="I48" s="28" t="s">
        <v>5</v>
      </c>
      <c r="J48" s="10" t="s">
        <v>19</v>
      </c>
      <c r="K48" s="29" t="s">
        <v>50</v>
      </c>
      <c r="L48" s="29"/>
      <c r="M48" s="29"/>
      <c r="N48" s="30">
        <f>COUNTIF(F50:F55,"Pendiente")+COUNTIF(F50:F55,"En Progreso")+COUNTIF(F50:F55,"En Revisión")+COUNTIF(F50:F55,"Completado")+COUNTIF(F50:F55,"Bloqueado")</f>
        <v>6</v>
      </c>
      <c r="O48" s="30">
        <f>COUNTIF(F50:F55,"Completado")</f>
        <v>3</v>
      </c>
      <c r="P48" s="31">
        <f>IFERROR(O48/N48,0)</f>
        <v>0.5</v>
      </c>
      <c r="Q48" s="32"/>
      <c r="R48">
        <f>COUNTIF(F50:F55,"En Progreso")</f>
        <v>2</v>
      </c>
      <c r="S48">
        <f>COUNTIF(F50:F55,"Pendiente")</f>
        <v>1</v>
      </c>
    </row>
    <row r="49" spans="2:19" ht="15.75" customHeight="1" x14ac:dyDescent="0.25">
      <c r="B49" s="33"/>
      <c r="C49" s="33"/>
      <c r="D49" s="34" t="s">
        <v>45</v>
      </c>
      <c r="E49" s="35" t="s">
        <v>46</v>
      </c>
      <c r="F49" s="34" t="s">
        <v>31</v>
      </c>
      <c r="G49" s="34" t="s">
        <v>32</v>
      </c>
      <c r="H49" s="34" t="s">
        <v>34</v>
      </c>
      <c r="I49" s="34" t="s">
        <v>47</v>
      </c>
      <c r="J49" s="33"/>
      <c r="K49" s="33"/>
      <c r="L49" s="33"/>
      <c r="M49" s="33"/>
      <c r="N49" s="33"/>
      <c r="O49" s="33"/>
      <c r="P49" s="33"/>
      <c r="Q49" s="33"/>
    </row>
    <row r="50" spans="2:19" ht="15" customHeight="1" x14ac:dyDescent="0.25">
      <c r="B50" s="36"/>
      <c r="C50" s="36"/>
      <c r="D50" s="37" t="s">
        <v>117</v>
      </c>
      <c r="E50" s="38" t="s">
        <v>121</v>
      </c>
      <c r="F50" s="28" t="s">
        <v>49</v>
      </c>
      <c r="G50" s="39" t="s">
        <v>50</v>
      </c>
      <c r="H50" s="40"/>
      <c r="I50" s="41" t="s">
        <v>122</v>
      </c>
      <c r="J50" s="36"/>
      <c r="K50" s="36"/>
      <c r="L50" s="36"/>
      <c r="M50" s="36"/>
      <c r="N50" s="36"/>
      <c r="O50" s="36"/>
      <c r="P50" s="36"/>
      <c r="Q50" s="36"/>
    </row>
    <row r="51" spans="2:19" ht="15" customHeight="1" x14ac:dyDescent="0.25">
      <c r="B51" s="36"/>
      <c r="C51" s="36"/>
      <c r="D51" s="37" t="s">
        <v>117</v>
      </c>
      <c r="E51" s="38" t="s">
        <v>123</v>
      </c>
      <c r="F51" s="28" t="s">
        <v>49</v>
      </c>
      <c r="G51" s="39" t="s">
        <v>50</v>
      </c>
      <c r="H51" s="40"/>
      <c r="I51" s="41" t="s">
        <v>124</v>
      </c>
      <c r="J51" s="36"/>
      <c r="K51" s="36"/>
      <c r="L51" s="36"/>
      <c r="M51" s="36"/>
      <c r="N51" s="36"/>
      <c r="O51" s="36"/>
      <c r="P51" s="36"/>
      <c r="Q51" s="36"/>
    </row>
    <row r="52" spans="2:19" ht="15" customHeight="1" x14ac:dyDescent="0.25">
      <c r="B52" s="36"/>
      <c r="C52" s="36"/>
      <c r="D52" s="37" t="s">
        <v>117</v>
      </c>
      <c r="E52" s="38" t="s">
        <v>125</v>
      </c>
      <c r="F52" s="28" t="s">
        <v>49</v>
      </c>
      <c r="G52" s="39" t="s">
        <v>50</v>
      </c>
      <c r="H52" s="40"/>
      <c r="I52" s="41" t="s">
        <v>126</v>
      </c>
      <c r="J52" s="36"/>
      <c r="K52" s="36"/>
      <c r="L52" s="36"/>
      <c r="M52" s="36"/>
      <c r="N52" s="36"/>
      <c r="O52" s="36"/>
      <c r="P52" s="36"/>
      <c r="Q52" s="36"/>
    </row>
    <row r="53" spans="2:19" ht="15" customHeight="1" x14ac:dyDescent="0.25">
      <c r="B53" s="36"/>
      <c r="C53" s="36"/>
      <c r="D53" s="37" t="s">
        <v>117</v>
      </c>
      <c r="E53" s="38" t="s">
        <v>127</v>
      </c>
      <c r="F53" s="28" t="s">
        <v>5</v>
      </c>
      <c r="G53" s="39" t="s">
        <v>50</v>
      </c>
      <c r="H53" s="40"/>
      <c r="I53" s="41" t="s">
        <v>128</v>
      </c>
      <c r="J53" s="36"/>
      <c r="K53" s="36"/>
      <c r="L53" s="36"/>
      <c r="M53" s="36"/>
      <c r="N53" s="36"/>
      <c r="O53" s="36"/>
      <c r="P53" s="36"/>
      <c r="Q53" s="36"/>
    </row>
    <row r="54" spans="2:19" ht="15" customHeight="1" x14ac:dyDescent="0.25">
      <c r="B54" s="36"/>
      <c r="C54" s="36"/>
      <c r="D54" s="37" t="s">
        <v>117</v>
      </c>
      <c r="E54" s="38" t="s">
        <v>129</v>
      </c>
      <c r="F54" s="28" t="s">
        <v>5</v>
      </c>
      <c r="G54" s="39" t="s">
        <v>50</v>
      </c>
      <c r="H54" s="40"/>
      <c r="I54" s="41" t="s">
        <v>130</v>
      </c>
      <c r="J54" s="36"/>
      <c r="K54" s="36"/>
      <c r="L54" s="36"/>
      <c r="M54" s="36"/>
      <c r="N54" s="36"/>
      <c r="O54" s="36"/>
      <c r="P54" s="36"/>
      <c r="Q54" s="36"/>
    </row>
    <row r="55" spans="2:19" ht="15" customHeight="1" x14ac:dyDescent="0.25">
      <c r="B55" s="36"/>
      <c r="C55" s="36"/>
      <c r="D55" s="37" t="s">
        <v>117</v>
      </c>
      <c r="E55" s="38" t="s">
        <v>131</v>
      </c>
      <c r="F55" s="28" t="s">
        <v>61</v>
      </c>
      <c r="G55" s="39" t="s">
        <v>50</v>
      </c>
      <c r="H55" s="40"/>
      <c r="I55" s="41" t="s">
        <v>132</v>
      </c>
      <c r="J55" s="36"/>
      <c r="K55" s="36"/>
      <c r="L55" s="36"/>
      <c r="M55" s="36"/>
      <c r="N55" s="36"/>
      <c r="O55" s="36"/>
      <c r="P55" s="36"/>
      <c r="Q55" s="36"/>
    </row>
    <row r="56" spans="2:19" ht="33.75" customHeight="1" x14ac:dyDescent="0.25">
      <c r="B56" s="22"/>
      <c r="C56" s="22"/>
      <c r="D56" s="23" t="s">
        <v>133</v>
      </c>
      <c r="E56" s="24" t="s">
        <v>134</v>
      </c>
      <c r="F56" s="25" t="s">
        <v>135</v>
      </c>
      <c r="G56" s="26" t="s">
        <v>136</v>
      </c>
      <c r="H56" s="42" t="s">
        <v>137</v>
      </c>
      <c r="I56" s="28" t="s">
        <v>5</v>
      </c>
      <c r="J56" s="10" t="s">
        <v>19</v>
      </c>
      <c r="K56" s="29" t="s">
        <v>50</v>
      </c>
      <c r="L56" s="29"/>
      <c r="M56" s="29"/>
      <c r="N56" s="30">
        <f>COUNTIF(F58:F60,"Pendiente")+COUNTIF(F58:F60,"En Progreso")+COUNTIF(F58:F60,"En Revisión")+COUNTIF(F58:F60,"Completado")+COUNTIF(F58:F60,"Bloqueado")</f>
        <v>3</v>
      </c>
      <c r="O56" s="30">
        <f>COUNTIF(F58:F60,"Completado")</f>
        <v>0</v>
      </c>
      <c r="P56" s="31">
        <f>IFERROR(O56/N56,0)</f>
        <v>0</v>
      </c>
      <c r="Q56" s="32"/>
      <c r="R56">
        <f>COUNTIF(F58:F60,"En Progreso")</f>
        <v>2</v>
      </c>
      <c r="S56">
        <f>COUNTIF(F58:F60,"Pendiente")</f>
        <v>1</v>
      </c>
    </row>
    <row r="57" spans="2:19" ht="15.75" customHeight="1" x14ac:dyDescent="0.25">
      <c r="B57" s="33"/>
      <c r="C57" s="33"/>
      <c r="D57" s="34" t="s">
        <v>45</v>
      </c>
      <c r="E57" s="35" t="s">
        <v>46</v>
      </c>
      <c r="F57" s="34" t="s">
        <v>31</v>
      </c>
      <c r="G57" s="34" t="s">
        <v>32</v>
      </c>
      <c r="H57" s="34" t="s">
        <v>34</v>
      </c>
      <c r="I57" s="34" t="s">
        <v>47</v>
      </c>
      <c r="J57" s="33"/>
      <c r="K57" s="33"/>
      <c r="L57" s="33"/>
      <c r="M57" s="33"/>
      <c r="N57" s="33"/>
      <c r="O57" s="33"/>
      <c r="P57" s="33"/>
      <c r="Q57" s="33"/>
    </row>
    <row r="58" spans="2:19" ht="15" customHeight="1" x14ac:dyDescent="0.25">
      <c r="B58" s="36"/>
      <c r="C58" s="36"/>
      <c r="D58" s="37" t="s">
        <v>133</v>
      </c>
      <c r="E58" s="38" t="s">
        <v>138</v>
      </c>
      <c r="F58" s="28" t="s">
        <v>5</v>
      </c>
      <c r="G58" s="39" t="s">
        <v>50</v>
      </c>
      <c r="H58" s="40"/>
      <c r="I58" s="41"/>
      <c r="J58" s="36"/>
      <c r="K58" s="36"/>
      <c r="L58" s="36"/>
      <c r="M58" s="36"/>
      <c r="N58" s="36"/>
      <c r="O58" s="36"/>
      <c r="P58" s="36"/>
      <c r="Q58" s="36"/>
    </row>
    <row r="59" spans="2:19" ht="15" customHeight="1" x14ac:dyDescent="0.25">
      <c r="B59" s="36"/>
      <c r="C59" s="36"/>
      <c r="D59" s="37" t="s">
        <v>133</v>
      </c>
      <c r="E59" s="38" t="s">
        <v>139</v>
      </c>
      <c r="F59" s="28" t="s">
        <v>5</v>
      </c>
      <c r="G59" s="39" t="s">
        <v>50</v>
      </c>
      <c r="H59" s="40"/>
      <c r="I59" s="41"/>
      <c r="J59" s="36"/>
      <c r="K59" s="36"/>
      <c r="L59" s="36"/>
      <c r="M59" s="36"/>
      <c r="N59" s="36"/>
      <c r="O59" s="36"/>
      <c r="P59" s="36"/>
      <c r="Q59" s="36"/>
    </row>
    <row r="60" spans="2:19" ht="15" customHeight="1" x14ac:dyDescent="0.25">
      <c r="B60" s="36"/>
      <c r="C60" s="36"/>
      <c r="D60" s="37" t="s">
        <v>133</v>
      </c>
      <c r="E60" s="38" t="s">
        <v>140</v>
      </c>
      <c r="F60" s="28" t="s">
        <v>61</v>
      </c>
      <c r="G60" s="39" t="s">
        <v>50</v>
      </c>
      <c r="H60" s="40"/>
      <c r="I60" s="41"/>
      <c r="J60" s="36"/>
      <c r="K60" s="36"/>
      <c r="L60" s="36"/>
      <c r="M60" s="36"/>
      <c r="N60" s="36"/>
      <c r="O60" s="36"/>
      <c r="P60" s="36"/>
      <c r="Q60" s="36"/>
    </row>
    <row r="61" spans="2:19" ht="33.75" customHeight="1" x14ac:dyDescent="0.25">
      <c r="B61" s="22"/>
      <c r="C61" s="22"/>
      <c r="D61" s="23" t="s">
        <v>141</v>
      </c>
      <c r="E61" s="24" t="s">
        <v>142</v>
      </c>
      <c r="F61" s="25" t="s">
        <v>143</v>
      </c>
      <c r="G61" s="26" t="s">
        <v>120</v>
      </c>
      <c r="H61" s="42" t="s">
        <v>137</v>
      </c>
      <c r="I61" s="28" t="s">
        <v>5</v>
      </c>
      <c r="J61" s="10" t="s">
        <v>19</v>
      </c>
      <c r="K61" s="29" t="s">
        <v>50</v>
      </c>
      <c r="L61" s="29"/>
      <c r="M61" s="29"/>
      <c r="N61" s="30">
        <f>COUNTIF(F63:F67,"Pendiente")+COUNTIF(F63:F67,"En Progreso")+COUNTIF(F63:F67,"En Revisión")+COUNTIF(F63:F67,"Completado")+COUNTIF(F63:F67,"Bloqueado")</f>
        <v>5</v>
      </c>
      <c r="O61" s="30">
        <f>COUNTIF(F63:F67,"Completado")</f>
        <v>3</v>
      </c>
      <c r="P61" s="31">
        <f>IFERROR(O61/N61,0)</f>
        <v>0.6</v>
      </c>
      <c r="Q61" s="32"/>
      <c r="R61">
        <f>COUNTIF(F63:F67,"En Progreso")</f>
        <v>2</v>
      </c>
      <c r="S61">
        <f>COUNTIF(F63:F67,"Pendiente")</f>
        <v>0</v>
      </c>
    </row>
    <row r="62" spans="2:19" ht="15.75" customHeight="1" x14ac:dyDescent="0.25">
      <c r="B62" s="33"/>
      <c r="C62" s="33"/>
      <c r="D62" s="34" t="s">
        <v>45</v>
      </c>
      <c r="E62" s="35" t="s">
        <v>46</v>
      </c>
      <c r="F62" s="34" t="s">
        <v>31</v>
      </c>
      <c r="G62" s="34" t="s">
        <v>32</v>
      </c>
      <c r="H62" s="34" t="s">
        <v>34</v>
      </c>
      <c r="I62" s="34" t="s">
        <v>47</v>
      </c>
      <c r="J62" s="33"/>
      <c r="K62" s="33"/>
      <c r="L62" s="33"/>
      <c r="M62" s="33"/>
      <c r="N62" s="33"/>
      <c r="O62" s="33"/>
      <c r="P62" s="33"/>
      <c r="Q62" s="33"/>
    </row>
    <row r="63" spans="2:19" ht="15" customHeight="1" x14ac:dyDescent="0.25">
      <c r="B63" s="36"/>
      <c r="C63" s="36"/>
      <c r="D63" s="37" t="s">
        <v>141</v>
      </c>
      <c r="E63" s="38" t="s">
        <v>144</v>
      </c>
      <c r="F63" s="28" t="s">
        <v>49</v>
      </c>
      <c r="G63" s="39" t="s">
        <v>50</v>
      </c>
      <c r="H63" s="40"/>
      <c r="I63" s="41" t="s">
        <v>145</v>
      </c>
      <c r="J63" s="36"/>
      <c r="K63" s="36"/>
      <c r="L63" s="36"/>
      <c r="M63" s="36"/>
      <c r="N63" s="36"/>
      <c r="O63" s="36"/>
      <c r="P63" s="36"/>
      <c r="Q63" s="36"/>
    </row>
    <row r="64" spans="2:19" ht="15" customHeight="1" x14ac:dyDescent="0.25">
      <c r="B64" s="36"/>
      <c r="C64" s="36"/>
      <c r="D64" s="37" t="s">
        <v>141</v>
      </c>
      <c r="E64" s="38" t="s">
        <v>146</v>
      </c>
      <c r="F64" s="28" t="s">
        <v>49</v>
      </c>
      <c r="G64" s="39" t="s">
        <v>50</v>
      </c>
      <c r="H64" s="40"/>
      <c r="I64" s="41" t="s">
        <v>147</v>
      </c>
      <c r="J64" s="36"/>
      <c r="K64" s="36"/>
      <c r="L64" s="36"/>
      <c r="M64" s="36"/>
      <c r="N64" s="36"/>
      <c r="O64" s="36"/>
      <c r="P64" s="36"/>
      <c r="Q64" s="36"/>
    </row>
    <row r="65" spans="2:19" ht="15" customHeight="1" x14ac:dyDescent="0.25">
      <c r="B65" s="36"/>
      <c r="C65" s="36"/>
      <c r="D65" s="37" t="s">
        <v>141</v>
      </c>
      <c r="E65" s="38" t="s">
        <v>148</v>
      </c>
      <c r="F65" s="28" t="s">
        <v>5</v>
      </c>
      <c r="G65" s="39" t="s">
        <v>50</v>
      </c>
      <c r="H65" s="40"/>
      <c r="I65" s="41" t="s">
        <v>149</v>
      </c>
      <c r="J65" s="36"/>
      <c r="K65" s="36"/>
      <c r="L65" s="36"/>
      <c r="M65" s="36"/>
      <c r="N65" s="36"/>
      <c r="O65" s="36"/>
      <c r="P65" s="36"/>
      <c r="Q65" s="36"/>
    </row>
    <row r="66" spans="2:19" ht="15" customHeight="1" x14ac:dyDescent="0.25">
      <c r="B66" s="36"/>
      <c r="C66" s="36"/>
      <c r="D66" s="37" t="s">
        <v>141</v>
      </c>
      <c r="E66" s="38" t="s">
        <v>150</v>
      </c>
      <c r="F66" s="28" t="s">
        <v>5</v>
      </c>
      <c r="G66" s="39" t="s">
        <v>50</v>
      </c>
      <c r="H66" s="40"/>
      <c r="I66" s="41"/>
      <c r="J66" s="36"/>
      <c r="K66" s="36"/>
      <c r="L66" s="36"/>
      <c r="M66" s="36"/>
      <c r="N66" s="36"/>
      <c r="O66" s="36"/>
      <c r="P66" s="36"/>
      <c r="Q66" s="36"/>
    </row>
    <row r="67" spans="2:19" ht="15" customHeight="1" x14ac:dyDescent="0.25">
      <c r="B67" s="36"/>
      <c r="C67" s="36"/>
      <c r="D67" s="37" t="s">
        <v>141</v>
      </c>
      <c r="E67" s="38" t="s">
        <v>151</v>
      </c>
      <c r="F67" s="28" t="s">
        <v>49</v>
      </c>
      <c r="G67" s="39" t="s">
        <v>50</v>
      </c>
      <c r="H67" s="40"/>
      <c r="I67" s="41" t="s">
        <v>152</v>
      </c>
      <c r="J67" s="36"/>
      <c r="K67" s="36"/>
      <c r="L67" s="36"/>
      <c r="M67" s="36"/>
      <c r="N67" s="36"/>
      <c r="O67" s="36"/>
      <c r="P67" s="36"/>
      <c r="Q67" s="36"/>
    </row>
    <row r="68" spans="2:19" ht="33.75" customHeight="1" x14ac:dyDescent="0.25">
      <c r="B68" s="43"/>
      <c r="C68" s="43"/>
      <c r="D68" s="44" t="s">
        <v>153</v>
      </c>
      <c r="E68" s="45" t="s">
        <v>154</v>
      </c>
      <c r="F68" s="46" t="s">
        <v>155</v>
      </c>
      <c r="G68" s="47" t="s">
        <v>156</v>
      </c>
      <c r="H68" s="48" t="s">
        <v>137</v>
      </c>
      <c r="I68" s="28" t="s">
        <v>61</v>
      </c>
      <c r="J68" s="49" t="s">
        <v>20</v>
      </c>
      <c r="K68" s="50" t="s">
        <v>157</v>
      </c>
      <c r="L68" s="50"/>
      <c r="M68" s="50"/>
      <c r="N68" s="51">
        <f>COUNTIF(F70:F73,"Pendiente")+COUNTIF(F70:F73,"En Progreso")+COUNTIF(F70:F73,"En Revisión")+COUNTIF(F70:F73,"Completado")+COUNTIF(F70:F73,"Bloqueado")</f>
        <v>4</v>
      </c>
      <c r="O68" s="51">
        <f>COUNTIF(F70:F73,"Completado")</f>
        <v>1</v>
      </c>
      <c r="P68" s="52">
        <f>IFERROR(O68/N68,0)</f>
        <v>0.25</v>
      </c>
      <c r="Q68" s="53"/>
      <c r="R68">
        <f>COUNTIF(F70:F73,"En Progreso")</f>
        <v>0</v>
      </c>
      <c r="S68">
        <f>COUNTIF(F70:F73,"Pendiente")</f>
        <v>3</v>
      </c>
    </row>
    <row r="69" spans="2:19" ht="15.75" customHeight="1" x14ac:dyDescent="0.25">
      <c r="B69" s="33"/>
      <c r="C69" s="33"/>
      <c r="D69" s="34" t="s">
        <v>45</v>
      </c>
      <c r="E69" s="35" t="s">
        <v>46</v>
      </c>
      <c r="F69" s="34" t="s">
        <v>31</v>
      </c>
      <c r="G69" s="34" t="s">
        <v>32</v>
      </c>
      <c r="H69" s="34" t="s">
        <v>34</v>
      </c>
      <c r="I69" s="34" t="s">
        <v>47</v>
      </c>
      <c r="J69" s="33"/>
      <c r="K69" s="33"/>
      <c r="L69" s="33"/>
      <c r="M69" s="33"/>
      <c r="N69" s="33"/>
      <c r="O69" s="33"/>
      <c r="P69" s="33"/>
      <c r="Q69" s="33"/>
    </row>
    <row r="70" spans="2:19" ht="15" customHeight="1" x14ac:dyDescent="0.25">
      <c r="B70" s="36"/>
      <c r="C70" s="36"/>
      <c r="D70" s="37" t="s">
        <v>153</v>
      </c>
      <c r="E70" s="38" t="s">
        <v>158</v>
      </c>
      <c r="F70" s="28" t="s">
        <v>49</v>
      </c>
      <c r="G70" s="39" t="s">
        <v>50</v>
      </c>
      <c r="H70" s="40"/>
      <c r="I70" s="41"/>
      <c r="J70" s="36"/>
      <c r="K70" s="36"/>
      <c r="L70" s="36"/>
      <c r="M70" s="36"/>
      <c r="N70" s="36"/>
      <c r="O70" s="36"/>
      <c r="P70" s="36"/>
      <c r="Q70" s="36"/>
    </row>
    <row r="71" spans="2:19" ht="15" customHeight="1" x14ac:dyDescent="0.25">
      <c r="B71" s="36"/>
      <c r="C71" s="36"/>
      <c r="D71" s="37" t="s">
        <v>153</v>
      </c>
      <c r="E71" s="38" t="s">
        <v>159</v>
      </c>
      <c r="F71" s="28" t="s">
        <v>61</v>
      </c>
      <c r="G71" s="39" t="s">
        <v>157</v>
      </c>
      <c r="H71" s="40"/>
      <c r="I71" s="41" t="s">
        <v>160</v>
      </c>
      <c r="J71" s="36"/>
      <c r="K71" s="36"/>
      <c r="L71" s="36"/>
      <c r="M71" s="36"/>
      <c r="N71" s="36"/>
      <c r="O71" s="36"/>
      <c r="P71" s="36"/>
      <c r="Q71" s="36"/>
    </row>
    <row r="72" spans="2:19" ht="15" customHeight="1" x14ac:dyDescent="0.25">
      <c r="B72" s="36"/>
      <c r="C72" s="36"/>
      <c r="D72" s="37" t="s">
        <v>153</v>
      </c>
      <c r="E72" s="38" t="s">
        <v>161</v>
      </c>
      <c r="F72" s="28" t="s">
        <v>61</v>
      </c>
      <c r="G72" s="39" t="s">
        <v>66</v>
      </c>
      <c r="H72" s="40"/>
      <c r="I72" s="41" t="s">
        <v>162</v>
      </c>
      <c r="J72" s="36"/>
      <c r="K72" s="36"/>
      <c r="L72" s="36"/>
      <c r="M72" s="36"/>
      <c r="N72" s="36"/>
      <c r="O72" s="36"/>
      <c r="P72" s="36"/>
      <c r="Q72" s="36"/>
    </row>
    <row r="73" spans="2:19" ht="15" customHeight="1" x14ac:dyDescent="0.25">
      <c r="B73" s="36"/>
      <c r="C73" s="36"/>
      <c r="D73" s="37" t="s">
        <v>153</v>
      </c>
      <c r="E73" s="38" t="s">
        <v>163</v>
      </c>
      <c r="F73" s="28" t="s">
        <v>61</v>
      </c>
      <c r="G73" s="39" t="s">
        <v>164</v>
      </c>
      <c r="H73" s="40"/>
      <c r="I73" s="41" t="s">
        <v>160</v>
      </c>
      <c r="J73" s="36"/>
      <c r="K73" s="36"/>
      <c r="L73" s="36"/>
      <c r="M73" s="36"/>
      <c r="N73" s="36"/>
      <c r="O73" s="36"/>
      <c r="P73" s="36"/>
      <c r="Q73" s="36"/>
    </row>
    <row r="74" spans="2:19" ht="33.75" customHeight="1" x14ac:dyDescent="0.25">
      <c r="B74" s="43"/>
      <c r="C74" s="43"/>
      <c r="D74" s="44" t="s">
        <v>165</v>
      </c>
      <c r="E74" s="45" t="s">
        <v>166</v>
      </c>
      <c r="F74" s="46" t="s">
        <v>167</v>
      </c>
      <c r="G74" s="47" t="s">
        <v>168</v>
      </c>
      <c r="H74" s="48" t="s">
        <v>137</v>
      </c>
      <c r="I74" s="28" t="s">
        <v>61</v>
      </c>
      <c r="J74" s="49" t="s">
        <v>20</v>
      </c>
      <c r="K74" s="50"/>
      <c r="L74" s="50"/>
      <c r="M74" s="50"/>
      <c r="N74" s="51">
        <f>COUNTIF(F76:F79,"Pendiente")+COUNTIF(F76:F79,"En Progreso")+COUNTIF(F76:F79,"En Revisión")+COUNTIF(F76:F79,"Completado")+COUNTIF(F76:F79,"Bloqueado")</f>
        <v>4</v>
      </c>
      <c r="O74" s="51">
        <f>COUNTIF(F76:F79,"Completado")</f>
        <v>0</v>
      </c>
      <c r="P74" s="52">
        <f>IFERROR(O74/N74,0)</f>
        <v>0</v>
      </c>
      <c r="Q74" s="53"/>
      <c r="R74">
        <f>COUNTIF(F76:F79,"En Progreso")</f>
        <v>0</v>
      </c>
      <c r="S74">
        <f>COUNTIF(F76:F79,"Pendiente")</f>
        <v>4</v>
      </c>
    </row>
    <row r="75" spans="2:19" ht="15.75" customHeight="1" x14ac:dyDescent="0.25">
      <c r="B75" s="33"/>
      <c r="C75" s="33"/>
      <c r="D75" s="34" t="s">
        <v>45</v>
      </c>
      <c r="E75" s="35" t="s">
        <v>46</v>
      </c>
      <c r="F75" s="34" t="s">
        <v>31</v>
      </c>
      <c r="G75" s="34" t="s">
        <v>32</v>
      </c>
      <c r="H75" s="34" t="s">
        <v>34</v>
      </c>
      <c r="I75" s="34" t="s">
        <v>47</v>
      </c>
      <c r="J75" s="33"/>
      <c r="K75" s="33"/>
      <c r="L75" s="33"/>
      <c r="M75" s="33"/>
      <c r="N75" s="33"/>
      <c r="O75" s="33"/>
      <c r="P75" s="33"/>
      <c r="Q75" s="33"/>
    </row>
    <row r="76" spans="2:19" ht="15" customHeight="1" x14ac:dyDescent="0.25">
      <c r="B76" s="36"/>
      <c r="C76" s="36"/>
      <c r="D76" s="37" t="s">
        <v>165</v>
      </c>
      <c r="E76" s="38" t="s">
        <v>169</v>
      </c>
      <c r="F76" s="28" t="s">
        <v>61</v>
      </c>
      <c r="G76" s="39"/>
      <c r="H76" s="40"/>
      <c r="I76" s="41" t="s">
        <v>160</v>
      </c>
      <c r="J76" s="36"/>
      <c r="K76" s="36"/>
      <c r="L76" s="36"/>
      <c r="M76" s="36"/>
      <c r="N76" s="36"/>
      <c r="O76" s="36"/>
      <c r="P76" s="36"/>
      <c r="Q76" s="36"/>
    </row>
    <row r="77" spans="2:19" ht="15" customHeight="1" x14ac:dyDescent="0.25">
      <c r="B77" s="36"/>
      <c r="C77" s="36"/>
      <c r="D77" s="37" t="s">
        <v>165</v>
      </c>
      <c r="E77" s="38" t="s">
        <v>170</v>
      </c>
      <c r="F77" s="28" t="s">
        <v>61</v>
      </c>
      <c r="G77" s="39"/>
      <c r="H77" s="40"/>
      <c r="I77" s="41" t="s">
        <v>160</v>
      </c>
      <c r="J77" s="36"/>
      <c r="K77" s="36"/>
      <c r="L77" s="36"/>
      <c r="M77" s="36"/>
      <c r="N77" s="36"/>
      <c r="O77" s="36"/>
      <c r="P77" s="36"/>
      <c r="Q77" s="36"/>
    </row>
    <row r="78" spans="2:19" ht="15" customHeight="1" x14ac:dyDescent="0.25">
      <c r="B78" s="36"/>
      <c r="C78" s="36"/>
      <c r="D78" s="37" t="s">
        <v>165</v>
      </c>
      <c r="E78" s="38" t="s">
        <v>171</v>
      </c>
      <c r="F78" s="28" t="s">
        <v>61</v>
      </c>
      <c r="G78" s="39"/>
      <c r="H78" s="40"/>
      <c r="I78" s="41" t="s">
        <v>160</v>
      </c>
      <c r="J78" s="36"/>
      <c r="K78" s="36"/>
      <c r="L78" s="36"/>
      <c r="M78" s="36"/>
      <c r="N78" s="36"/>
      <c r="O78" s="36"/>
      <c r="P78" s="36"/>
      <c r="Q78" s="36"/>
    </row>
    <row r="79" spans="2:19" ht="15" customHeight="1" x14ac:dyDescent="0.25">
      <c r="B79" s="36"/>
      <c r="C79" s="36"/>
      <c r="D79" s="37" t="s">
        <v>165</v>
      </c>
      <c r="E79" s="38" t="s">
        <v>172</v>
      </c>
      <c r="F79" s="28" t="s">
        <v>61</v>
      </c>
      <c r="G79" s="39"/>
      <c r="H79" s="40"/>
      <c r="I79" s="41" t="s">
        <v>160</v>
      </c>
      <c r="J79" s="36"/>
      <c r="K79" s="36"/>
      <c r="L79" s="36"/>
      <c r="M79" s="36"/>
      <c r="N79" s="36"/>
      <c r="O79" s="36"/>
      <c r="P79" s="36"/>
      <c r="Q79" s="36"/>
    </row>
    <row r="81" spans="2:17" ht="21.75" customHeight="1" x14ac:dyDescent="0.25">
      <c r="B81" s="3" t="s">
        <v>173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54">
        <f>COUNTIF(F7:F80,"Pendiente")+COUNTIF(F7:F80,"En Progreso")+COUNTIF(F7:F80,"En Revisión")+COUNTIF(F7:F80,"Completado")+COUNTIF(F7:F80,"Bloqueado")</f>
        <v>51</v>
      </c>
      <c r="O81" s="54">
        <f>COUNTIF(F7:F80,"Completado")</f>
        <v>15</v>
      </c>
      <c r="P81" s="55">
        <f>IFERROR(O81/N81,0)</f>
        <v>0.29411764705882354</v>
      </c>
      <c r="Q81" s="56"/>
    </row>
  </sheetData>
  <mergeCells count="4">
    <mergeCell ref="A2:Q2"/>
    <mergeCell ref="A3:Q3"/>
    <mergeCell ref="A4:Q4"/>
    <mergeCell ref="B81:M81"/>
  </mergeCells>
  <dataValidations count="2">
    <dataValidation type="list" allowBlank="1" sqref="I7 F9:F15 I16 F18:F22 I23 F25:F28 I29 F31:F34 I35 F37:F41 I42 F44:F47 I48 F50:F55 I56 F58:F60 I61 F63:F67 I68 F70:F73 I74 F76:F79" xr:uid="{00000000-0002-0000-0100-000000000000}">
      <formula1>"Pendiente,En Progreso,En Revisión,Completado,Bloqueado"</formula1>
      <formula2>0</formula2>
    </dataValidation>
    <dataValidation type="list" allowBlank="1" sqref="J7 J16 J23 J29 J35 J42 J48 J56 J61 J68 J74" xr:uid="{00000000-0002-0000-0100-000001000000}">
      <formula1>"Demo,Fase 2,Fase 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5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7109375" defaultRowHeight="15" x14ac:dyDescent="0.25"/>
  <cols>
    <col min="1" max="1" width="2" customWidth="1"/>
    <col min="2" max="2" width="4" customWidth="1"/>
    <col min="3" max="3" width="3" customWidth="1"/>
    <col min="4" max="4" width="12" customWidth="1"/>
    <col min="5" max="5" width="30" customWidth="1"/>
    <col min="6" max="6" width="34" customWidth="1"/>
    <col min="7" max="7" width="19" customWidth="1"/>
    <col min="8" max="8" width="11" customWidth="1"/>
    <col min="9" max="9" width="15" customWidth="1"/>
    <col min="10" max="10" width="9" customWidth="1"/>
    <col min="11" max="11" width="15" customWidth="1"/>
    <col min="12" max="13" width="11" customWidth="1"/>
    <col min="14" max="14" width="9" customWidth="1"/>
    <col min="15" max="15" width="10" customWidth="1"/>
    <col min="16" max="16" width="9" customWidth="1"/>
    <col min="17" max="17" width="40" customWidth="1"/>
    <col min="18" max="19" width="13" hidden="1" customWidth="1"/>
  </cols>
  <sheetData>
    <row r="1" spans="1:19" ht="7.5" customHeight="1" x14ac:dyDescent="0.25"/>
    <row r="2" spans="1:19" ht="39.75" customHeight="1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9" ht="19.5" customHeight="1" x14ac:dyDescent="0.25">
      <c r="A3" s="5" t="s">
        <v>174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9" ht="42" customHeight="1" x14ac:dyDescent="0.25">
      <c r="A4" s="4" t="s">
        <v>175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9" ht="6" customHeight="1" x14ac:dyDescent="0.25"/>
    <row r="6" spans="1:19" ht="25.5" customHeight="1" x14ac:dyDescent="0.25">
      <c r="A6" s="11"/>
      <c r="B6" s="11" t="s">
        <v>25</v>
      </c>
      <c r="C6" s="11"/>
      <c r="D6" s="11" t="s">
        <v>26</v>
      </c>
      <c r="E6" s="11" t="s">
        <v>27</v>
      </c>
      <c r="F6" s="11" t="s">
        <v>28</v>
      </c>
      <c r="G6" s="11" t="s">
        <v>29</v>
      </c>
      <c r="H6" s="11" t="s">
        <v>30</v>
      </c>
      <c r="I6" s="11" t="s">
        <v>31</v>
      </c>
      <c r="J6" s="11" t="s">
        <v>18</v>
      </c>
      <c r="K6" s="11" t="s">
        <v>32</v>
      </c>
      <c r="L6" s="11" t="s">
        <v>33</v>
      </c>
      <c r="M6" s="11" t="s">
        <v>34</v>
      </c>
      <c r="N6" s="11" t="s">
        <v>35</v>
      </c>
      <c r="O6" s="11" t="s">
        <v>36</v>
      </c>
      <c r="P6" s="11" t="s">
        <v>9</v>
      </c>
      <c r="Q6" s="11" t="s">
        <v>37</v>
      </c>
    </row>
    <row r="7" spans="1:19" ht="33.75" customHeight="1" x14ac:dyDescent="0.25">
      <c r="B7" s="22"/>
      <c r="C7" s="22"/>
      <c r="D7" s="23" t="s">
        <v>176</v>
      </c>
      <c r="E7" s="24" t="s">
        <v>177</v>
      </c>
      <c r="F7" s="25" t="s">
        <v>178</v>
      </c>
      <c r="G7" s="26" t="s">
        <v>179</v>
      </c>
      <c r="H7" s="27" t="s">
        <v>42</v>
      </c>
      <c r="I7" s="28" t="s">
        <v>5</v>
      </c>
      <c r="J7" s="10" t="s">
        <v>19</v>
      </c>
      <c r="K7" s="29" t="s">
        <v>50</v>
      </c>
      <c r="L7" s="29"/>
      <c r="M7" s="29"/>
      <c r="N7" s="30">
        <f>COUNTIF(F9:F13,"Pendiente")+COUNTIF(F9:F13,"En Progreso")+COUNTIF(F9:F13,"En Revisión")+COUNTIF(F9:F13,"Completado")+COUNTIF(F9:F13,"Bloqueado")</f>
        <v>5</v>
      </c>
      <c r="O7" s="30">
        <f>COUNTIF(F9:F13,"Completado")</f>
        <v>2</v>
      </c>
      <c r="P7" s="31">
        <f>IFERROR(O7/N7,0)</f>
        <v>0.4</v>
      </c>
      <c r="Q7" s="32" t="s">
        <v>180</v>
      </c>
      <c r="R7">
        <f>COUNTIF(F9:F13,"En Progreso")</f>
        <v>3</v>
      </c>
      <c r="S7">
        <f>COUNTIF(F9:F13,"Pendiente")</f>
        <v>0</v>
      </c>
    </row>
    <row r="8" spans="1:19" ht="15.75" customHeight="1" x14ac:dyDescent="0.25">
      <c r="B8" s="33"/>
      <c r="C8" s="33"/>
      <c r="D8" s="34" t="s">
        <v>45</v>
      </c>
      <c r="E8" s="35" t="s">
        <v>46</v>
      </c>
      <c r="F8" s="34" t="s">
        <v>31</v>
      </c>
      <c r="G8" s="34" t="s">
        <v>32</v>
      </c>
      <c r="H8" s="34" t="s">
        <v>34</v>
      </c>
      <c r="I8" s="34" t="s">
        <v>47</v>
      </c>
      <c r="J8" s="33"/>
      <c r="K8" s="33"/>
      <c r="L8" s="33"/>
      <c r="M8" s="33"/>
      <c r="N8" s="33"/>
      <c r="O8" s="33"/>
      <c r="P8" s="33"/>
      <c r="Q8" s="33"/>
    </row>
    <row r="9" spans="1:19" ht="15" customHeight="1" x14ac:dyDescent="0.25">
      <c r="B9" s="36"/>
      <c r="C9" s="36"/>
      <c r="D9" s="37" t="s">
        <v>176</v>
      </c>
      <c r="E9" s="38" t="s">
        <v>181</v>
      </c>
      <c r="F9" s="28" t="s">
        <v>49</v>
      </c>
      <c r="G9" s="39" t="s">
        <v>50</v>
      </c>
      <c r="H9" s="40"/>
      <c r="I9" s="41" t="s">
        <v>182</v>
      </c>
      <c r="J9" s="36"/>
      <c r="K9" s="36"/>
      <c r="L9" s="36"/>
      <c r="M9" s="36"/>
      <c r="N9" s="36"/>
      <c r="O9" s="36"/>
      <c r="P9" s="36"/>
      <c r="Q9" s="36"/>
    </row>
    <row r="10" spans="1:19" ht="15" customHeight="1" x14ac:dyDescent="0.25">
      <c r="B10" s="36"/>
      <c r="C10" s="36"/>
      <c r="D10" s="37" t="s">
        <v>176</v>
      </c>
      <c r="E10" s="38" t="s">
        <v>183</v>
      </c>
      <c r="F10" s="28" t="s">
        <v>49</v>
      </c>
      <c r="G10" s="39" t="s">
        <v>50</v>
      </c>
      <c r="H10" s="40"/>
      <c r="I10" s="41"/>
      <c r="J10" s="36"/>
      <c r="K10" s="36"/>
      <c r="L10" s="36"/>
      <c r="M10" s="36"/>
      <c r="N10" s="36"/>
      <c r="O10" s="36"/>
      <c r="P10" s="36"/>
      <c r="Q10" s="36"/>
    </row>
    <row r="11" spans="1:19" ht="15" customHeight="1" x14ac:dyDescent="0.25">
      <c r="B11" s="36"/>
      <c r="C11" s="36"/>
      <c r="D11" s="37" t="s">
        <v>176</v>
      </c>
      <c r="E11" s="38" t="s">
        <v>184</v>
      </c>
      <c r="F11" s="28" t="s">
        <v>5</v>
      </c>
      <c r="G11" s="39" t="s">
        <v>50</v>
      </c>
      <c r="H11" s="40"/>
      <c r="I11" s="41" t="s">
        <v>185</v>
      </c>
      <c r="J11" s="36"/>
      <c r="K11" s="36"/>
      <c r="L11" s="36"/>
      <c r="M11" s="36"/>
      <c r="N11" s="36"/>
      <c r="O11" s="36"/>
      <c r="P11" s="36"/>
      <c r="Q11" s="36"/>
    </row>
    <row r="12" spans="1:19" ht="15" customHeight="1" x14ac:dyDescent="0.25">
      <c r="B12" s="36"/>
      <c r="C12" s="36"/>
      <c r="D12" s="37" t="s">
        <v>176</v>
      </c>
      <c r="E12" s="38" t="s">
        <v>186</v>
      </c>
      <c r="F12" s="28" t="s">
        <v>5</v>
      </c>
      <c r="G12" s="39" t="s">
        <v>50</v>
      </c>
      <c r="H12" s="40"/>
      <c r="I12" s="41"/>
      <c r="J12" s="36"/>
      <c r="K12" s="36"/>
      <c r="L12" s="36"/>
      <c r="M12" s="36"/>
      <c r="N12" s="36"/>
      <c r="O12" s="36"/>
      <c r="P12" s="36"/>
      <c r="Q12" s="36"/>
    </row>
    <row r="13" spans="1:19" ht="15" customHeight="1" x14ac:dyDescent="0.25">
      <c r="B13" s="36"/>
      <c r="C13" s="36"/>
      <c r="D13" s="37" t="s">
        <v>176</v>
      </c>
      <c r="E13" s="38" t="s">
        <v>187</v>
      </c>
      <c r="F13" s="28" t="s">
        <v>5</v>
      </c>
      <c r="G13" s="39" t="s">
        <v>50</v>
      </c>
      <c r="H13" s="40"/>
      <c r="I13" s="41"/>
      <c r="J13" s="36"/>
      <c r="K13" s="36"/>
      <c r="L13" s="36"/>
      <c r="M13" s="36"/>
      <c r="N13" s="36"/>
      <c r="O13" s="36"/>
      <c r="P13" s="36"/>
      <c r="Q13" s="36"/>
    </row>
    <row r="14" spans="1:19" ht="33.75" customHeight="1" x14ac:dyDescent="0.25">
      <c r="B14" s="22"/>
      <c r="C14" s="22"/>
      <c r="D14" s="23" t="s">
        <v>188</v>
      </c>
      <c r="E14" s="24" t="s">
        <v>189</v>
      </c>
      <c r="F14" s="25" t="s">
        <v>190</v>
      </c>
      <c r="G14" s="26" t="s">
        <v>179</v>
      </c>
      <c r="H14" s="27" t="s">
        <v>42</v>
      </c>
      <c r="I14" s="28" t="s">
        <v>5</v>
      </c>
      <c r="J14" s="10" t="s">
        <v>19</v>
      </c>
      <c r="K14" s="29" t="s">
        <v>50</v>
      </c>
      <c r="L14" s="29"/>
      <c r="M14" s="29"/>
      <c r="N14" s="30">
        <f>COUNTIF(F16:F20,"Pendiente")+COUNTIF(F16:F20,"En Progreso")+COUNTIF(F16:F20,"En Revisión")+COUNTIF(F16:F20,"Completado")+COUNTIF(F16:F20,"Bloqueado")</f>
        <v>5</v>
      </c>
      <c r="O14" s="30">
        <f>COUNTIF(F16:F20,"Completado")</f>
        <v>2</v>
      </c>
      <c r="P14" s="31">
        <f>IFERROR(O14/N14,0)</f>
        <v>0.4</v>
      </c>
      <c r="Q14" s="32" t="s">
        <v>191</v>
      </c>
      <c r="R14">
        <f>COUNTIF(F16:F20,"En Progreso")</f>
        <v>2</v>
      </c>
      <c r="S14">
        <f>COUNTIF(F16:F20,"Pendiente")</f>
        <v>1</v>
      </c>
    </row>
    <row r="15" spans="1:19" ht="15.75" customHeight="1" x14ac:dyDescent="0.25">
      <c r="B15" s="33"/>
      <c r="C15" s="33"/>
      <c r="D15" s="34" t="s">
        <v>45</v>
      </c>
      <c r="E15" s="35" t="s">
        <v>46</v>
      </c>
      <c r="F15" s="34" t="s">
        <v>31</v>
      </c>
      <c r="G15" s="34" t="s">
        <v>32</v>
      </c>
      <c r="H15" s="34" t="s">
        <v>34</v>
      </c>
      <c r="I15" s="34" t="s">
        <v>47</v>
      </c>
      <c r="J15" s="33"/>
      <c r="K15" s="33"/>
      <c r="L15" s="33"/>
      <c r="M15" s="33"/>
      <c r="N15" s="33"/>
      <c r="O15" s="33"/>
      <c r="P15" s="33"/>
      <c r="Q15" s="33"/>
    </row>
    <row r="16" spans="1:19" ht="15" customHeight="1" x14ac:dyDescent="0.25">
      <c r="B16" s="36"/>
      <c r="C16" s="36"/>
      <c r="D16" s="37" t="s">
        <v>188</v>
      </c>
      <c r="E16" s="38" t="s">
        <v>192</v>
      </c>
      <c r="F16" s="28" t="s">
        <v>49</v>
      </c>
      <c r="G16" s="39" t="s">
        <v>50</v>
      </c>
      <c r="H16" s="40"/>
      <c r="I16" s="41" t="s">
        <v>193</v>
      </c>
      <c r="J16" s="36"/>
      <c r="K16" s="36"/>
      <c r="L16" s="36"/>
      <c r="M16" s="36"/>
      <c r="N16" s="36"/>
      <c r="O16" s="36"/>
      <c r="P16" s="36"/>
      <c r="Q16" s="36"/>
    </row>
    <row r="17" spans="2:19" ht="15" customHeight="1" x14ac:dyDescent="0.25">
      <c r="B17" s="36"/>
      <c r="C17" s="36"/>
      <c r="D17" s="37" t="s">
        <v>188</v>
      </c>
      <c r="E17" s="38" t="s">
        <v>194</v>
      </c>
      <c r="F17" s="28" t="s">
        <v>49</v>
      </c>
      <c r="G17" s="39" t="s">
        <v>50</v>
      </c>
      <c r="H17" s="40"/>
      <c r="I17" s="41" t="s">
        <v>195</v>
      </c>
      <c r="J17" s="36"/>
      <c r="K17" s="36"/>
      <c r="L17" s="36"/>
      <c r="M17" s="36"/>
      <c r="N17" s="36"/>
      <c r="O17" s="36"/>
      <c r="P17" s="36"/>
      <c r="Q17" s="36"/>
    </row>
    <row r="18" spans="2:19" ht="15" customHeight="1" x14ac:dyDescent="0.25">
      <c r="B18" s="36"/>
      <c r="C18" s="36"/>
      <c r="D18" s="37" t="s">
        <v>188</v>
      </c>
      <c r="E18" s="38" t="s">
        <v>196</v>
      </c>
      <c r="F18" s="28" t="s">
        <v>5</v>
      </c>
      <c r="G18" s="39" t="s">
        <v>50</v>
      </c>
      <c r="H18" s="40"/>
      <c r="I18" s="41"/>
      <c r="J18" s="36"/>
      <c r="K18" s="36"/>
      <c r="L18" s="36"/>
      <c r="M18" s="36"/>
      <c r="N18" s="36"/>
      <c r="O18" s="36"/>
      <c r="P18" s="36"/>
      <c r="Q18" s="36"/>
    </row>
    <row r="19" spans="2:19" ht="15" customHeight="1" x14ac:dyDescent="0.25">
      <c r="B19" s="36"/>
      <c r="C19" s="36"/>
      <c r="D19" s="37" t="s">
        <v>188</v>
      </c>
      <c r="E19" s="38" t="s">
        <v>197</v>
      </c>
      <c r="F19" s="28" t="s">
        <v>5</v>
      </c>
      <c r="G19" s="39" t="s">
        <v>50</v>
      </c>
      <c r="H19" s="40"/>
      <c r="I19" s="41"/>
      <c r="J19" s="36"/>
      <c r="K19" s="36"/>
      <c r="L19" s="36"/>
      <c r="M19" s="36"/>
      <c r="N19" s="36"/>
      <c r="O19" s="36"/>
      <c r="P19" s="36"/>
      <c r="Q19" s="36"/>
    </row>
    <row r="20" spans="2:19" ht="15" customHeight="1" x14ac:dyDescent="0.25">
      <c r="B20" s="36"/>
      <c r="C20" s="36"/>
      <c r="D20" s="37" t="s">
        <v>188</v>
      </c>
      <c r="E20" s="38" t="s">
        <v>198</v>
      </c>
      <c r="F20" s="28" t="s">
        <v>61</v>
      </c>
      <c r="G20" s="39"/>
      <c r="H20" s="40"/>
      <c r="I20" s="41" t="s">
        <v>199</v>
      </c>
      <c r="J20" s="36"/>
      <c r="K20" s="36"/>
      <c r="L20" s="36"/>
      <c r="M20" s="36"/>
      <c r="N20" s="36"/>
      <c r="O20" s="36"/>
      <c r="P20" s="36"/>
      <c r="Q20" s="36"/>
    </row>
    <row r="21" spans="2:19" ht="33.75" customHeight="1" x14ac:dyDescent="0.25">
      <c r="B21" s="22"/>
      <c r="C21" s="22"/>
      <c r="D21" s="23" t="s">
        <v>200</v>
      </c>
      <c r="E21" s="24" t="s">
        <v>201</v>
      </c>
      <c r="F21" s="25" t="s">
        <v>202</v>
      </c>
      <c r="G21" s="26" t="s">
        <v>179</v>
      </c>
      <c r="H21" s="27" t="s">
        <v>42</v>
      </c>
      <c r="I21" s="28" t="s">
        <v>5</v>
      </c>
      <c r="J21" s="10" t="s">
        <v>19</v>
      </c>
      <c r="K21" s="29" t="s">
        <v>50</v>
      </c>
      <c r="L21" s="29"/>
      <c r="M21" s="29"/>
      <c r="N21" s="30">
        <f>COUNTIF(F23:F27,"Pendiente")+COUNTIF(F23:F27,"En Progreso")+COUNTIF(F23:F27,"En Revisión")+COUNTIF(F23:F27,"Completado")+COUNTIF(F23:F27,"Bloqueado")</f>
        <v>5</v>
      </c>
      <c r="O21" s="30">
        <f>COUNTIF(F23:F27,"Completado")</f>
        <v>3</v>
      </c>
      <c r="P21" s="31">
        <f>IFERROR(O21/N21,0)</f>
        <v>0.6</v>
      </c>
      <c r="Q21" s="32" t="s">
        <v>203</v>
      </c>
      <c r="R21">
        <f>COUNTIF(F23:F27,"En Progreso")</f>
        <v>1</v>
      </c>
      <c r="S21">
        <f>COUNTIF(F23:F27,"Pendiente")</f>
        <v>1</v>
      </c>
    </row>
    <row r="22" spans="2:19" ht="15.75" customHeight="1" x14ac:dyDescent="0.25">
      <c r="B22" s="33"/>
      <c r="C22" s="33"/>
      <c r="D22" s="34" t="s">
        <v>45</v>
      </c>
      <c r="E22" s="35" t="s">
        <v>46</v>
      </c>
      <c r="F22" s="34" t="s">
        <v>31</v>
      </c>
      <c r="G22" s="34" t="s">
        <v>32</v>
      </c>
      <c r="H22" s="34" t="s">
        <v>34</v>
      </c>
      <c r="I22" s="34" t="s">
        <v>47</v>
      </c>
      <c r="J22" s="33"/>
      <c r="K22" s="33"/>
      <c r="L22" s="33"/>
      <c r="M22" s="33"/>
      <c r="N22" s="33"/>
      <c r="O22" s="33"/>
      <c r="P22" s="33"/>
      <c r="Q22" s="33"/>
    </row>
    <row r="23" spans="2:19" ht="15" customHeight="1" x14ac:dyDescent="0.25">
      <c r="B23" s="36"/>
      <c r="C23" s="36"/>
      <c r="D23" s="37" t="s">
        <v>200</v>
      </c>
      <c r="E23" s="38" t="s">
        <v>204</v>
      </c>
      <c r="F23" s="28" t="s">
        <v>49</v>
      </c>
      <c r="G23" s="39" t="s">
        <v>50</v>
      </c>
      <c r="H23" s="40"/>
      <c r="I23" s="41" t="s">
        <v>205</v>
      </c>
      <c r="J23" s="36"/>
      <c r="K23" s="36"/>
      <c r="L23" s="36"/>
      <c r="M23" s="36"/>
      <c r="N23" s="36"/>
      <c r="O23" s="36"/>
      <c r="P23" s="36"/>
      <c r="Q23" s="36"/>
    </row>
    <row r="24" spans="2:19" ht="15" customHeight="1" x14ac:dyDescent="0.25">
      <c r="B24" s="36"/>
      <c r="C24" s="36"/>
      <c r="D24" s="37" t="s">
        <v>200</v>
      </c>
      <c r="E24" s="38" t="s">
        <v>206</v>
      </c>
      <c r="F24" s="28" t="s">
        <v>49</v>
      </c>
      <c r="G24" s="39" t="s">
        <v>50</v>
      </c>
      <c r="H24" s="40"/>
      <c r="I24" s="41"/>
      <c r="J24" s="36"/>
      <c r="K24" s="36"/>
      <c r="L24" s="36"/>
      <c r="M24" s="36"/>
      <c r="N24" s="36"/>
      <c r="O24" s="36"/>
      <c r="P24" s="36"/>
      <c r="Q24" s="36"/>
    </row>
    <row r="25" spans="2:19" ht="15" customHeight="1" x14ac:dyDescent="0.25">
      <c r="B25" s="36"/>
      <c r="C25" s="36"/>
      <c r="D25" s="37" t="s">
        <v>200</v>
      </c>
      <c r="E25" s="38" t="s">
        <v>207</v>
      </c>
      <c r="F25" s="28" t="s">
        <v>49</v>
      </c>
      <c r="G25" s="39" t="s">
        <v>50</v>
      </c>
      <c r="H25" s="40"/>
      <c r="I25" s="41"/>
      <c r="J25" s="36"/>
      <c r="K25" s="36"/>
      <c r="L25" s="36"/>
      <c r="M25" s="36"/>
      <c r="N25" s="36"/>
      <c r="O25" s="36"/>
      <c r="P25" s="36"/>
      <c r="Q25" s="36"/>
    </row>
    <row r="26" spans="2:19" ht="15" customHeight="1" x14ac:dyDescent="0.25">
      <c r="B26" s="36"/>
      <c r="C26" s="36"/>
      <c r="D26" s="37" t="s">
        <v>200</v>
      </c>
      <c r="E26" s="38" t="s">
        <v>208</v>
      </c>
      <c r="F26" s="28" t="s">
        <v>5</v>
      </c>
      <c r="G26" s="39" t="s">
        <v>50</v>
      </c>
      <c r="H26" s="40"/>
      <c r="I26" s="41"/>
      <c r="J26" s="36"/>
      <c r="K26" s="36"/>
      <c r="L26" s="36"/>
      <c r="M26" s="36"/>
      <c r="N26" s="36"/>
      <c r="O26" s="36"/>
      <c r="P26" s="36"/>
      <c r="Q26" s="36"/>
    </row>
    <row r="27" spans="2:19" ht="15" customHeight="1" x14ac:dyDescent="0.25">
      <c r="B27" s="36"/>
      <c r="C27" s="36"/>
      <c r="D27" s="37" t="s">
        <v>200</v>
      </c>
      <c r="E27" s="38" t="s">
        <v>209</v>
      </c>
      <c r="F27" s="28" t="s">
        <v>61</v>
      </c>
      <c r="G27" s="39"/>
      <c r="H27" s="40"/>
      <c r="I27" s="41" t="s">
        <v>210</v>
      </c>
      <c r="J27" s="36"/>
      <c r="K27" s="36"/>
      <c r="L27" s="36"/>
      <c r="M27" s="36"/>
      <c r="N27" s="36"/>
      <c r="O27" s="36"/>
      <c r="P27" s="36"/>
      <c r="Q27" s="36"/>
    </row>
    <row r="28" spans="2:19" ht="33.75" customHeight="1" x14ac:dyDescent="0.25">
      <c r="B28" s="22"/>
      <c r="C28" s="22"/>
      <c r="D28" s="23" t="s">
        <v>211</v>
      </c>
      <c r="E28" s="24" t="s">
        <v>212</v>
      </c>
      <c r="F28" s="25" t="s">
        <v>213</v>
      </c>
      <c r="G28" s="26" t="s">
        <v>214</v>
      </c>
      <c r="H28" s="27" t="s">
        <v>42</v>
      </c>
      <c r="I28" s="28" t="s">
        <v>49</v>
      </c>
      <c r="J28" s="10" t="s">
        <v>19</v>
      </c>
      <c r="K28" s="29" t="s">
        <v>50</v>
      </c>
      <c r="L28" s="29"/>
      <c r="M28" s="29"/>
      <c r="N28" s="30">
        <f>COUNTIF(F30:F33,"Pendiente")+COUNTIF(F30:F33,"En Progreso")+COUNTIF(F30:F33,"En Revisión")+COUNTIF(F30:F33,"Completado")+COUNTIF(F30:F33,"Bloqueado")</f>
        <v>4</v>
      </c>
      <c r="O28" s="30">
        <f>COUNTIF(F30:F33,"Completado")</f>
        <v>4</v>
      </c>
      <c r="P28" s="31">
        <f>IFERROR(O28/N28,0)</f>
        <v>1</v>
      </c>
      <c r="Q28" s="32"/>
      <c r="R28">
        <f>COUNTIF(F30:F33,"En Progreso")</f>
        <v>0</v>
      </c>
      <c r="S28">
        <f>COUNTIF(F30:F33,"Pendiente")</f>
        <v>0</v>
      </c>
    </row>
    <row r="29" spans="2:19" ht="15.75" customHeight="1" x14ac:dyDescent="0.25">
      <c r="B29" s="33"/>
      <c r="C29" s="33"/>
      <c r="D29" s="34" t="s">
        <v>45</v>
      </c>
      <c r="E29" s="35" t="s">
        <v>46</v>
      </c>
      <c r="F29" s="34" t="s">
        <v>31</v>
      </c>
      <c r="G29" s="34" t="s">
        <v>32</v>
      </c>
      <c r="H29" s="34" t="s">
        <v>34</v>
      </c>
      <c r="I29" s="34" t="s">
        <v>47</v>
      </c>
      <c r="J29" s="33"/>
      <c r="K29" s="33"/>
      <c r="L29" s="33"/>
      <c r="M29" s="33"/>
      <c r="N29" s="33"/>
      <c r="O29" s="33"/>
      <c r="P29" s="33"/>
      <c r="Q29" s="33"/>
    </row>
    <row r="30" spans="2:19" ht="15" customHeight="1" x14ac:dyDescent="0.25">
      <c r="B30" s="36"/>
      <c r="C30" s="36"/>
      <c r="D30" s="37" t="s">
        <v>211</v>
      </c>
      <c r="E30" s="38" t="s">
        <v>215</v>
      </c>
      <c r="F30" s="28" t="s">
        <v>49</v>
      </c>
      <c r="G30" s="39" t="s">
        <v>50</v>
      </c>
      <c r="H30" s="40"/>
      <c r="I30" s="41"/>
      <c r="J30" s="36"/>
      <c r="K30" s="36"/>
      <c r="L30" s="36"/>
      <c r="M30" s="36"/>
      <c r="N30" s="36"/>
      <c r="O30" s="36"/>
      <c r="P30" s="36"/>
      <c r="Q30" s="36"/>
    </row>
    <row r="31" spans="2:19" ht="15" customHeight="1" x14ac:dyDescent="0.25">
      <c r="B31" s="36"/>
      <c r="C31" s="36"/>
      <c r="D31" s="37" t="s">
        <v>211</v>
      </c>
      <c r="E31" s="38" t="s">
        <v>216</v>
      </c>
      <c r="F31" s="28" t="s">
        <v>49</v>
      </c>
      <c r="G31" s="39" t="s">
        <v>50</v>
      </c>
      <c r="H31" s="40"/>
      <c r="I31" s="41"/>
      <c r="J31" s="36"/>
      <c r="K31" s="36"/>
      <c r="L31" s="36"/>
      <c r="M31" s="36"/>
      <c r="N31" s="36"/>
      <c r="O31" s="36"/>
      <c r="P31" s="36"/>
      <c r="Q31" s="36"/>
    </row>
    <row r="32" spans="2:19" ht="15" customHeight="1" x14ac:dyDescent="0.25">
      <c r="B32" s="36"/>
      <c r="C32" s="36"/>
      <c r="D32" s="37" t="s">
        <v>211</v>
      </c>
      <c r="E32" s="38" t="s">
        <v>217</v>
      </c>
      <c r="F32" s="28" t="s">
        <v>49</v>
      </c>
      <c r="G32" s="39" t="s">
        <v>50</v>
      </c>
      <c r="H32" s="40"/>
      <c r="I32" s="41" t="s">
        <v>218</v>
      </c>
      <c r="J32" s="36"/>
      <c r="K32" s="36"/>
      <c r="L32" s="36"/>
      <c r="M32" s="36"/>
      <c r="N32" s="36"/>
      <c r="O32" s="36"/>
      <c r="P32" s="36"/>
      <c r="Q32" s="36"/>
    </row>
    <row r="33" spans="2:19" ht="15" customHeight="1" x14ac:dyDescent="0.25">
      <c r="B33" s="36"/>
      <c r="C33" s="36"/>
      <c r="D33" s="37" t="s">
        <v>211</v>
      </c>
      <c r="E33" s="38" t="s">
        <v>219</v>
      </c>
      <c r="F33" s="28" t="s">
        <v>49</v>
      </c>
      <c r="G33" s="39" t="s">
        <v>50</v>
      </c>
      <c r="H33" s="40"/>
      <c r="I33" s="41"/>
      <c r="J33" s="36"/>
      <c r="K33" s="36"/>
      <c r="L33" s="36"/>
      <c r="M33" s="36"/>
      <c r="N33" s="36"/>
      <c r="O33" s="36"/>
      <c r="P33" s="36"/>
      <c r="Q33" s="36"/>
    </row>
    <row r="34" spans="2:19" ht="33.75" customHeight="1" x14ac:dyDescent="0.25">
      <c r="B34" s="22"/>
      <c r="C34" s="22"/>
      <c r="D34" s="23" t="s">
        <v>220</v>
      </c>
      <c r="E34" s="24" t="s">
        <v>221</v>
      </c>
      <c r="F34" s="25" t="s">
        <v>222</v>
      </c>
      <c r="G34" s="26" t="s">
        <v>120</v>
      </c>
      <c r="H34" s="27" t="s">
        <v>42</v>
      </c>
      <c r="I34" s="28" t="s">
        <v>5</v>
      </c>
      <c r="J34" s="10" t="s">
        <v>19</v>
      </c>
      <c r="K34" s="29" t="s">
        <v>50</v>
      </c>
      <c r="L34" s="29"/>
      <c r="M34" s="29"/>
      <c r="N34" s="30">
        <f>COUNTIF(F36:F41,"Pendiente")+COUNTIF(F36:F41,"En Progreso")+COUNTIF(F36:F41,"En Revisión")+COUNTIF(F36:F41,"Completado")+COUNTIF(F36:F41,"Bloqueado")</f>
        <v>6</v>
      </c>
      <c r="O34" s="30">
        <f>COUNTIF(F36:F41,"Completado")</f>
        <v>3</v>
      </c>
      <c r="P34" s="31">
        <f>IFERROR(O34/N34,0)</f>
        <v>0.5</v>
      </c>
      <c r="Q34" s="32"/>
      <c r="R34">
        <f>COUNTIF(F36:F41,"En Progreso")</f>
        <v>2</v>
      </c>
      <c r="S34">
        <f>COUNTIF(F36:F41,"Pendiente")</f>
        <v>1</v>
      </c>
    </row>
    <row r="35" spans="2:19" ht="15.75" customHeight="1" x14ac:dyDescent="0.25">
      <c r="B35" s="33"/>
      <c r="C35" s="33"/>
      <c r="D35" s="34" t="s">
        <v>45</v>
      </c>
      <c r="E35" s="35" t="s">
        <v>46</v>
      </c>
      <c r="F35" s="34" t="s">
        <v>31</v>
      </c>
      <c r="G35" s="34" t="s">
        <v>32</v>
      </c>
      <c r="H35" s="34" t="s">
        <v>34</v>
      </c>
      <c r="I35" s="34" t="s">
        <v>47</v>
      </c>
      <c r="J35" s="33"/>
      <c r="K35" s="33"/>
      <c r="L35" s="33"/>
      <c r="M35" s="33"/>
      <c r="N35" s="33"/>
      <c r="O35" s="33"/>
      <c r="P35" s="33"/>
      <c r="Q35" s="33"/>
    </row>
    <row r="36" spans="2:19" ht="15" customHeight="1" x14ac:dyDescent="0.25">
      <c r="B36" s="36"/>
      <c r="C36" s="36"/>
      <c r="D36" s="37" t="s">
        <v>220</v>
      </c>
      <c r="E36" s="38" t="s">
        <v>223</v>
      </c>
      <c r="F36" s="28" t="s">
        <v>49</v>
      </c>
      <c r="G36" s="39" t="s">
        <v>50</v>
      </c>
      <c r="H36" s="40"/>
      <c r="I36" s="41" t="s">
        <v>224</v>
      </c>
      <c r="J36" s="36"/>
      <c r="K36" s="36"/>
      <c r="L36" s="36"/>
      <c r="M36" s="36"/>
      <c r="N36" s="36"/>
      <c r="O36" s="36"/>
      <c r="P36" s="36"/>
      <c r="Q36" s="36"/>
    </row>
    <row r="37" spans="2:19" ht="15" customHeight="1" x14ac:dyDescent="0.25">
      <c r="B37" s="36"/>
      <c r="C37" s="36"/>
      <c r="D37" s="37" t="s">
        <v>220</v>
      </c>
      <c r="E37" s="38" t="s">
        <v>225</v>
      </c>
      <c r="F37" s="28" t="s">
        <v>49</v>
      </c>
      <c r="G37" s="39" t="s">
        <v>50</v>
      </c>
      <c r="H37" s="40"/>
      <c r="I37" s="41" t="s">
        <v>226</v>
      </c>
      <c r="J37" s="36"/>
      <c r="K37" s="36"/>
      <c r="L37" s="36"/>
      <c r="M37" s="36"/>
      <c r="N37" s="36"/>
      <c r="O37" s="36"/>
      <c r="P37" s="36"/>
      <c r="Q37" s="36"/>
    </row>
    <row r="38" spans="2:19" ht="15" customHeight="1" x14ac:dyDescent="0.25">
      <c r="B38" s="36"/>
      <c r="C38" s="36"/>
      <c r="D38" s="37" t="s">
        <v>220</v>
      </c>
      <c r="E38" s="38" t="s">
        <v>227</v>
      </c>
      <c r="F38" s="28" t="s">
        <v>5</v>
      </c>
      <c r="G38" s="39" t="s">
        <v>50</v>
      </c>
      <c r="H38" s="40"/>
      <c r="I38" s="41"/>
      <c r="J38" s="36"/>
      <c r="K38" s="36"/>
      <c r="L38" s="36"/>
      <c r="M38" s="36"/>
      <c r="N38" s="36"/>
      <c r="O38" s="36"/>
      <c r="P38" s="36"/>
      <c r="Q38" s="36"/>
    </row>
    <row r="39" spans="2:19" ht="15" customHeight="1" x14ac:dyDescent="0.25">
      <c r="B39" s="36"/>
      <c r="C39" s="36"/>
      <c r="D39" s="37" t="s">
        <v>220</v>
      </c>
      <c r="E39" s="38" t="s">
        <v>228</v>
      </c>
      <c r="F39" s="28" t="s">
        <v>5</v>
      </c>
      <c r="G39" s="39" t="s">
        <v>50</v>
      </c>
      <c r="H39" s="40"/>
      <c r="I39" s="41" t="s">
        <v>229</v>
      </c>
      <c r="J39" s="36"/>
      <c r="K39" s="36"/>
      <c r="L39" s="36"/>
      <c r="M39" s="36"/>
      <c r="N39" s="36"/>
      <c r="O39" s="36"/>
      <c r="P39" s="36"/>
      <c r="Q39" s="36"/>
    </row>
    <row r="40" spans="2:19" ht="15" customHeight="1" x14ac:dyDescent="0.25">
      <c r="B40" s="36"/>
      <c r="C40" s="36"/>
      <c r="D40" s="37" t="s">
        <v>220</v>
      </c>
      <c r="E40" s="38" t="s">
        <v>230</v>
      </c>
      <c r="F40" s="28" t="s">
        <v>49</v>
      </c>
      <c r="G40" s="39" t="s">
        <v>50</v>
      </c>
      <c r="H40" s="40"/>
      <c r="I40" s="41"/>
      <c r="J40" s="36"/>
      <c r="K40" s="36"/>
      <c r="L40" s="36"/>
      <c r="M40" s="36"/>
      <c r="N40" s="36"/>
      <c r="O40" s="36"/>
      <c r="P40" s="36"/>
      <c r="Q40" s="36"/>
    </row>
    <row r="41" spans="2:19" ht="15" customHeight="1" x14ac:dyDescent="0.25">
      <c r="B41" s="36"/>
      <c r="C41" s="36"/>
      <c r="D41" s="37" t="s">
        <v>220</v>
      </c>
      <c r="E41" s="38" t="s">
        <v>231</v>
      </c>
      <c r="F41" s="28" t="s">
        <v>61</v>
      </c>
      <c r="G41" s="39" t="s">
        <v>50</v>
      </c>
      <c r="H41" s="40"/>
      <c r="I41" s="41" t="s">
        <v>232</v>
      </c>
      <c r="J41" s="36"/>
      <c r="K41" s="36"/>
      <c r="L41" s="36"/>
      <c r="M41" s="36"/>
      <c r="N41" s="36"/>
      <c r="O41" s="36"/>
      <c r="P41" s="36"/>
      <c r="Q41" s="36"/>
    </row>
    <row r="42" spans="2:19" ht="33.75" customHeight="1" x14ac:dyDescent="0.25">
      <c r="B42" s="43"/>
      <c r="C42" s="43"/>
      <c r="D42" s="44" t="s">
        <v>233</v>
      </c>
      <c r="E42" s="45" t="s">
        <v>234</v>
      </c>
      <c r="F42" s="46" t="s">
        <v>235</v>
      </c>
      <c r="G42" s="47" t="s">
        <v>236</v>
      </c>
      <c r="H42" s="48" t="s">
        <v>137</v>
      </c>
      <c r="I42" s="28" t="s">
        <v>61</v>
      </c>
      <c r="J42" s="49" t="s">
        <v>20</v>
      </c>
      <c r="K42" s="50"/>
      <c r="L42" s="50"/>
      <c r="M42" s="50"/>
      <c r="N42" s="51">
        <f>COUNTIF(F44:F47,"Pendiente")+COUNTIF(F44:F47,"En Progreso")+COUNTIF(F44:F47,"En Revisión")+COUNTIF(F44:F47,"Completado")+COUNTIF(F44:F47,"Bloqueado")</f>
        <v>4</v>
      </c>
      <c r="O42" s="51">
        <f>COUNTIF(F44:F47,"Completado")</f>
        <v>0</v>
      </c>
      <c r="P42" s="52">
        <f>IFERROR(O42/N42,0)</f>
        <v>0</v>
      </c>
      <c r="Q42" s="53"/>
      <c r="R42">
        <f>COUNTIF(F44:F47,"En Progreso")</f>
        <v>0</v>
      </c>
      <c r="S42">
        <f>COUNTIF(F44:F47,"Pendiente")</f>
        <v>4</v>
      </c>
    </row>
    <row r="43" spans="2:19" ht="15.75" customHeight="1" x14ac:dyDescent="0.25">
      <c r="B43" s="33"/>
      <c r="C43" s="33"/>
      <c r="D43" s="34" t="s">
        <v>45</v>
      </c>
      <c r="E43" s="35" t="s">
        <v>46</v>
      </c>
      <c r="F43" s="34" t="s">
        <v>31</v>
      </c>
      <c r="G43" s="34" t="s">
        <v>32</v>
      </c>
      <c r="H43" s="34" t="s">
        <v>34</v>
      </c>
      <c r="I43" s="34" t="s">
        <v>47</v>
      </c>
      <c r="J43" s="33"/>
      <c r="K43" s="33"/>
      <c r="L43" s="33"/>
      <c r="M43" s="33"/>
      <c r="N43" s="33"/>
      <c r="O43" s="33"/>
      <c r="P43" s="33"/>
      <c r="Q43" s="33"/>
    </row>
    <row r="44" spans="2:19" ht="15" customHeight="1" x14ac:dyDescent="0.25">
      <c r="B44" s="36"/>
      <c r="C44" s="36"/>
      <c r="D44" s="37" t="s">
        <v>233</v>
      </c>
      <c r="E44" s="38" t="s">
        <v>237</v>
      </c>
      <c r="F44" s="28" t="s">
        <v>61</v>
      </c>
      <c r="G44" s="39"/>
      <c r="H44" s="40"/>
      <c r="I44" s="41" t="s">
        <v>160</v>
      </c>
      <c r="J44" s="36"/>
      <c r="K44" s="36"/>
      <c r="L44" s="36"/>
      <c r="M44" s="36"/>
      <c r="N44" s="36"/>
      <c r="O44" s="36"/>
      <c r="P44" s="36"/>
      <c r="Q44" s="36"/>
    </row>
    <row r="45" spans="2:19" ht="15" customHeight="1" x14ac:dyDescent="0.25">
      <c r="B45" s="36"/>
      <c r="C45" s="36"/>
      <c r="D45" s="37" t="s">
        <v>233</v>
      </c>
      <c r="E45" s="38" t="s">
        <v>238</v>
      </c>
      <c r="F45" s="28" t="s">
        <v>61</v>
      </c>
      <c r="G45" s="39"/>
      <c r="H45" s="40"/>
      <c r="I45" s="41" t="s">
        <v>160</v>
      </c>
      <c r="J45" s="36"/>
      <c r="K45" s="36"/>
      <c r="L45" s="36"/>
      <c r="M45" s="36"/>
      <c r="N45" s="36"/>
      <c r="O45" s="36"/>
      <c r="P45" s="36"/>
      <c r="Q45" s="36"/>
    </row>
    <row r="46" spans="2:19" ht="15" customHeight="1" x14ac:dyDescent="0.25">
      <c r="B46" s="36"/>
      <c r="C46" s="36"/>
      <c r="D46" s="37" t="s">
        <v>233</v>
      </c>
      <c r="E46" s="38" t="s">
        <v>239</v>
      </c>
      <c r="F46" s="28" t="s">
        <v>61</v>
      </c>
      <c r="G46" s="39"/>
      <c r="H46" s="40"/>
      <c r="I46" s="41" t="s">
        <v>160</v>
      </c>
      <c r="J46" s="36"/>
      <c r="K46" s="36"/>
      <c r="L46" s="36"/>
      <c r="M46" s="36"/>
      <c r="N46" s="36"/>
      <c r="O46" s="36"/>
      <c r="P46" s="36"/>
      <c r="Q46" s="36"/>
    </row>
    <row r="47" spans="2:19" ht="15" customHeight="1" x14ac:dyDescent="0.25">
      <c r="B47" s="36"/>
      <c r="C47" s="36"/>
      <c r="D47" s="37" t="s">
        <v>233</v>
      </c>
      <c r="E47" s="38" t="s">
        <v>240</v>
      </c>
      <c r="F47" s="28" t="s">
        <v>61</v>
      </c>
      <c r="G47" s="39"/>
      <c r="H47" s="40"/>
      <c r="I47" s="41" t="s">
        <v>160</v>
      </c>
      <c r="J47" s="36"/>
      <c r="K47" s="36"/>
      <c r="L47" s="36"/>
      <c r="M47" s="36"/>
      <c r="N47" s="36"/>
      <c r="O47" s="36"/>
      <c r="P47" s="36"/>
      <c r="Q47" s="36"/>
    </row>
    <row r="48" spans="2:19" ht="33.75" customHeight="1" x14ac:dyDescent="0.25">
      <c r="B48" s="57"/>
      <c r="C48" s="57"/>
      <c r="D48" s="58" t="s">
        <v>241</v>
      </c>
      <c r="E48" s="59" t="s">
        <v>242</v>
      </c>
      <c r="F48" s="60" t="s">
        <v>243</v>
      </c>
      <c r="G48" s="61" t="s">
        <v>244</v>
      </c>
      <c r="H48" s="62" t="s">
        <v>137</v>
      </c>
      <c r="I48" s="28" t="s">
        <v>61</v>
      </c>
      <c r="J48" s="63" t="s">
        <v>21</v>
      </c>
      <c r="K48" s="64"/>
      <c r="L48" s="64"/>
      <c r="M48" s="64"/>
      <c r="N48" s="65">
        <f>COUNTIF(F50:F53,"Pendiente")+COUNTIF(F50:F53,"En Progreso")+COUNTIF(F50:F53,"En Revisión")+COUNTIF(F50:F53,"Completado")+COUNTIF(F50:F53,"Bloqueado")</f>
        <v>4</v>
      </c>
      <c r="O48" s="65">
        <f>COUNTIF(F50:F53,"Completado")</f>
        <v>0</v>
      </c>
      <c r="P48" s="66">
        <f>IFERROR(O48/N48,0)</f>
        <v>0</v>
      </c>
      <c r="Q48" s="67"/>
      <c r="R48">
        <f>COUNTIF(F50:F53,"En Progreso")</f>
        <v>0</v>
      </c>
      <c r="S48">
        <f>COUNTIF(F50:F53,"Pendiente")</f>
        <v>4</v>
      </c>
    </row>
    <row r="49" spans="2:17" ht="15.75" customHeight="1" x14ac:dyDescent="0.25">
      <c r="B49" s="33"/>
      <c r="C49" s="33"/>
      <c r="D49" s="34" t="s">
        <v>45</v>
      </c>
      <c r="E49" s="35" t="s">
        <v>46</v>
      </c>
      <c r="F49" s="34" t="s">
        <v>31</v>
      </c>
      <c r="G49" s="34" t="s">
        <v>32</v>
      </c>
      <c r="H49" s="34" t="s">
        <v>34</v>
      </c>
      <c r="I49" s="34" t="s">
        <v>47</v>
      </c>
      <c r="J49" s="33"/>
      <c r="K49" s="33"/>
      <c r="L49" s="33"/>
      <c r="M49" s="33"/>
      <c r="N49" s="33"/>
      <c r="O49" s="33"/>
      <c r="P49" s="33"/>
      <c r="Q49" s="33"/>
    </row>
    <row r="50" spans="2:17" ht="15" customHeight="1" x14ac:dyDescent="0.25">
      <c r="B50" s="36"/>
      <c r="C50" s="36"/>
      <c r="D50" s="37" t="s">
        <v>241</v>
      </c>
      <c r="E50" s="38" t="s">
        <v>245</v>
      </c>
      <c r="F50" s="28" t="s">
        <v>61</v>
      </c>
      <c r="G50" s="39"/>
      <c r="H50" s="40"/>
      <c r="I50" s="41" t="s">
        <v>160</v>
      </c>
      <c r="J50" s="36"/>
      <c r="K50" s="36"/>
      <c r="L50" s="36"/>
      <c r="M50" s="36"/>
      <c r="N50" s="36"/>
      <c r="O50" s="36"/>
      <c r="P50" s="36"/>
      <c r="Q50" s="36"/>
    </row>
    <row r="51" spans="2:17" ht="15" customHeight="1" x14ac:dyDescent="0.25">
      <c r="B51" s="36"/>
      <c r="C51" s="36"/>
      <c r="D51" s="37" t="s">
        <v>241</v>
      </c>
      <c r="E51" s="38" t="s">
        <v>246</v>
      </c>
      <c r="F51" s="28" t="s">
        <v>61</v>
      </c>
      <c r="G51" s="39"/>
      <c r="H51" s="40"/>
      <c r="I51" s="41" t="s">
        <v>160</v>
      </c>
      <c r="J51" s="36"/>
      <c r="K51" s="36"/>
      <c r="L51" s="36"/>
      <c r="M51" s="36"/>
      <c r="N51" s="36"/>
      <c r="O51" s="36"/>
      <c r="P51" s="36"/>
      <c r="Q51" s="36"/>
    </row>
    <row r="52" spans="2:17" ht="15" customHeight="1" x14ac:dyDescent="0.25">
      <c r="B52" s="36"/>
      <c r="C52" s="36"/>
      <c r="D52" s="37" t="s">
        <v>241</v>
      </c>
      <c r="E52" s="38" t="s">
        <v>247</v>
      </c>
      <c r="F52" s="28" t="s">
        <v>61</v>
      </c>
      <c r="G52" s="39"/>
      <c r="H52" s="40"/>
      <c r="I52" s="41" t="s">
        <v>160</v>
      </c>
      <c r="J52" s="36"/>
      <c r="K52" s="36"/>
      <c r="L52" s="36"/>
      <c r="M52" s="36"/>
      <c r="N52" s="36"/>
      <c r="O52" s="36"/>
      <c r="P52" s="36"/>
      <c r="Q52" s="36"/>
    </row>
    <row r="53" spans="2:17" ht="15" customHeight="1" x14ac:dyDescent="0.25">
      <c r="B53" s="36"/>
      <c r="C53" s="36"/>
      <c r="D53" s="37" t="s">
        <v>241</v>
      </c>
      <c r="E53" s="38" t="s">
        <v>248</v>
      </c>
      <c r="F53" s="28" t="s">
        <v>61</v>
      </c>
      <c r="G53" s="39"/>
      <c r="H53" s="40"/>
      <c r="I53" s="41" t="s">
        <v>160</v>
      </c>
      <c r="J53" s="36"/>
      <c r="K53" s="36"/>
      <c r="L53" s="36"/>
      <c r="M53" s="36"/>
      <c r="N53" s="36"/>
      <c r="O53" s="36"/>
      <c r="P53" s="36"/>
      <c r="Q53" s="36"/>
    </row>
    <row r="55" spans="2:17" ht="21.75" customHeight="1" x14ac:dyDescent="0.25">
      <c r="B55" s="3" t="s">
        <v>173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54">
        <f>COUNTIF(F7:F54,"Pendiente")+COUNTIF(F7:F54,"En Progreso")+COUNTIF(F7:F54,"En Revisión")+COUNTIF(F7:F54,"Completado")+COUNTIF(F7:F54,"Bloqueado")</f>
        <v>33</v>
      </c>
      <c r="O55" s="54">
        <f>COUNTIF(F7:F54,"Completado")</f>
        <v>14</v>
      </c>
      <c r="P55" s="55">
        <f>IFERROR(O55/N55,0)</f>
        <v>0.42424242424242425</v>
      </c>
      <c r="Q55" s="56"/>
    </row>
  </sheetData>
  <mergeCells count="4">
    <mergeCell ref="A2:Q2"/>
    <mergeCell ref="A3:Q3"/>
    <mergeCell ref="A4:Q4"/>
    <mergeCell ref="B55:M55"/>
  </mergeCells>
  <dataValidations count="2">
    <dataValidation type="list" allowBlank="1" sqref="I7 F9:F13 I14 F16:F20 I21 F23:F27 I28 F30:F33 I34 F36:F41 I42 F44:F47 I48 F50:F53" xr:uid="{00000000-0002-0000-0200-000000000000}">
      <formula1>"Pendiente,En Progreso,En Revisión,Completado,Bloqueado"</formula1>
      <formula2>0</formula2>
    </dataValidation>
    <dataValidation type="list" allowBlank="1" sqref="J7 J14 J21 J28 J34 J42 J48" xr:uid="{00000000-0002-0000-0200-000001000000}">
      <formula1>"Demo,Fase 2,Fase 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4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7109375" defaultRowHeight="15" x14ac:dyDescent="0.25"/>
  <cols>
    <col min="1" max="1" width="2" customWidth="1"/>
    <col min="2" max="2" width="4" customWidth="1"/>
    <col min="3" max="3" width="3" customWidth="1"/>
    <col min="4" max="4" width="12" customWidth="1"/>
    <col min="5" max="5" width="30" customWidth="1"/>
    <col min="6" max="6" width="34" customWidth="1"/>
    <col min="7" max="7" width="19" customWidth="1"/>
    <col min="8" max="8" width="11" customWidth="1"/>
    <col min="9" max="9" width="15" customWidth="1"/>
    <col min="10" max="10" width="9" customWidth="1"/>
    <col min="11" max="11" width="15" customWidth="1"/>
    <col min="12" max="13" width="11" customWidth="1"/>
    <col min="14" max="14" width="9" customWidth="1"/>
    <col min="15" max="15" width="10" customWidth="1"/>
    <col min="16" max="16" width="9" customWidth="1"/>
    <col min="17" max="17" width="40" customWidth="1"/>
    <col min="18" max="19" width="13" hidden="1" customWidth="1"/>
  </cols>
  <sheetData>
    <row r="1" spans="1:19" ht="7.5" customHeight="1" x14ac:dyDescent="0.25"/>
    <row r="2" spans="1:19" ht="39.75" customHeight="1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9" ht="19.5" customHeight="1" x14ac:dyDescent="0.25">
      <c r="A3" s="5" t="s">
        <v>249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9" ht="42" customHeight="1" x14ac:dyDescent="0.25">
      <c r="A4" s="4" t="s">
        <v>250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9" ht="6" customHeight="1" x14ac:dyDescent="0.25"/>
    <row r="6" spans="1:19" ht="25.5" customHeight="1" x14ac:dyDescent="0.25">
      <c r="A6" s="11"/>
      <c r="B6" s="11" t="s">
        <v>25</v>
      </c>
      <c r="C6" s="11"/>
      <c r="D6" s="11" t="s">
        <v>26</v>
      </c>
      <c r="E6" s="11" t="s">
        <v>27</v>
      </c>
      <c r="F6" s="11" t="s">
        <v>28</v>
      </c>
      <c r="G6" s="11" t="s">
        <v>29</v>
      </c>
      <c r="H6" s="11" t="s">
        <v>30</v>
      </c>
      <c r="I6" s="11" t="s">
        <v>31</v>
      </c>
      <c r="J6" s="11" t="s">
        <v>18</v>
      </c>
      <c r="K6" s="11" t="s">
        <v>32</v>
      </c>
      <c r="L6" s="11" t="s">
        <v>33</v>
      </c>
      <c r="M6" s="11" t="s">
        <v>34</v>
      </c>
      <c r="N6" s="11" t="s">
        <v>35</v>
      </c>
      <c r="O6" s="11" t="s">
        <v>36</v>
      </c>
      <c r="P6" s="11" t="s">
        <v>9</v>
      </c>
      <c r="Q6" s="11" t="s">
        <v>37</v>
      </c>
    </row>
    <row r="7" spans="1:19" ht="33.75" customHeight="1" x14ac:dyDescent="0.25">
      <c r="B7" s="43"/>
      <c r="C7" s="43"/>
      <c r="D7" s="44" t="s">
        <v>251</v>
      </c>
      <c r="E7" s="45" t="s">
        <v>252</v>
      </c>
      <c r="F7" s="46" t="s">
        <v>253</v>
      </c>
      <c r="G7" s="47" t="s">
        <v>254</v>
      </c>
      <c r="H7" s="68" t="s">
        <v>42</v>
      </c>
      <c r="I7" s="28" t="s">
        <v>61</v>
      </c>
      <c r="J7" s="49" t="s">
        <v>20</v>
      </c>
      <c r="K7" s="50"/>
      <c r="L7" s="50"/>
      <c r="M7" s="50"/>
      <c r="N7" s="51">
        <f>COUNTIF(F9:F12,"Pendiente")+COUNTIF(F9:F12,"En Progreso")+COUNTIF(F9:F12,"En Revisión")+COUNTIF(F9:F12,"Completado")+COUNTIF(F9:F12,"Bloqueado")</f>
        <v>4</v>
      </c>
      <c r="O7" s="51">
        <f>COUNTIF(F9:F12,"Completado")</f>
        <v>0</v>
      </c>
      <c r="P7" s="52">
        <f>IFERROR(O7/N7,0)</f>
        <v>0</v>
      </c>
      <c r="Q7" s="53" t="s">
        <v>255</v>
      </c>
      <c r="R7">
        <f>COUNTIF(F9:F12,"En Progreso")</f>
        <v>0</v>
      </c>
      <c r="S7">
        <f>COUNTIF(F9:F12,"Pendiente")</f>
        <v>4</v>
      </c>
    </row>
    <row r="8" spans="1:19" ht="15.75" customHeight="1" x14ac:dyDescent="0.25">
      <c r="B8" s="33"/>
      <c r="C8" s="33"/>
      <c r="D8" s="34" t="s">
        <v>45</v>
      </c>
      <c r="E8" s="35" t="s">
        <v>46</v>
      </c>
      <c r="F8" s="34" t="s">
        <v>31</v>
      </c>
      <c r="G8" s="34" t="s">
        <v>32</v>
      </c>
      <c r="H8" s="34" t="s">
        <v>34</v>
      </c>
      <c r="I8" s="34" t="s">
        <v>47</v>
      </c>
      <c r="J8" s="33"/>
      <c r="K8" s="33"/>
      <c r="L8" s="33"/>
      <c r="M8" s="33"/>
      <c r="N8" s="33"/>
      <c r="O8" s="33"/>
      <c r="P8" s="33"/>
      <c r="Q8" s="33"/>
    </row>
    <row r="9" spans="1:19" ht="15" customHeight="1" x14ac:dyDescent="0.25">
      <c r="B9" s="36"/>
      <c r="C9" s="36"/>
      <c r="D9" s="37" t="s">
        <v>251</v>
      </c>
      <c r="E9" s="38" t="s">
        <v>256</v>
      </c>
      <c r="F9" s="28" t="s">
        <v>61</v>
      </c>
      <c r="G9" s="39"/>
      <c r="H9" s="40"/>
      <c r="I9" s="41" t="s">
        <v>160</v>
      </c>
      <c r="J9" s="36"/>
      <c r="K9" s="36"/>
      <c r="L9" s="36"/>
      <c r="M9" s="36"/>
      <c r="N9" s="36"/>
      <c r="O9" s="36"/>
      <c r="P9" s="36"/>
      <c r="Q9" s="36"/>
    </row>
    <row r="10" spans="1:19" ht="15" customHeight="1" x14ac:dyDescent="0.25">
      <c r="B10" s="36"/>
      <c r="C10" s="36"/>
      <c r="D10" s="37" t="s">
        <v>251</v>
      </c>
      <c r="E10" s="38" t="s">
        <v>257</v>
      </c>
      <c r="F10" s="28" t="s">
        <v>61</v>
      </c>
      <c r="G10" s="39"/>
      <c r="H10" s="40"/>
      <c r="I10" s="41" t="s">
        <v>160</v>
      </c>
      <c r="J10" s="36"/>
      <c r="K10" s="36"/>
      <c r="L10" s="36"/>
      <c r="M10" s="36"/>
      <c r="N10" s="36"/>
      <c r="O10" s="36"/>
      <c r="P10" s="36"/>
      <c r="Q10" s="36"/>
    </row>
    <row r="11" spans="1:19" ht="15" customHeight="1" x14ac:dyDescent="0.25">
      <c r="B11" s="36"/>
      <c r="C11" s="36"/>
      <c r="D11" s="37" t="s">
        <v>251</v>
      </c>
      <c r="E11" s="38" t="s">
        <v>258</v>
      </c>
      <c r="F11" s="28" t="s">
        <v>61</v>
      </c>
      <c r="G11" s="39"/>
      <c r="H11" s="40"/>
      <c r="I11" s="41" t="s">
        <v>160</v>
      </c>
      <c r="J11" s="36"/>
      <c r="K11" s="36"/>
      <c r="L11" s="36"/>
      <c r="M11" s="36"/>
      <c r="N11" s="36"/>
      <c r="O11" s="36"/>
      <c r="P11" s="36"/>
      <c r="Q11" s="36"/>
    </row>
    <row r="12" spans="1:19" ht="15" customHeight="1" x14ac:dyDescent="0.25">
      <c r="B12" s="36"/>
      <c r="C12" s="36"/>
      <c r="D12" s="37" t="s">
        <v>251</v>
      </c>
      <c r="E12" s="38" t="s">
        <v>259</v>
      </c>
      <c r="F12" s="28" t="s">
        <v>61</v>
      </c>
      <c r="G12" s="39"/>
      <c r="H12" s="40"/>
      <c r="I12" s="41" t="s">
        <v>160</v>
      </c>
      <c r="J12" s="36"/>
      <c r="K12" s="36"/>
      <c r="L12" s="36"/>
      <c r="M12" s="36"/>
      <c r="N12" s="36"/>
      <c r="O12" s="36"/>
      <c r="P12" s="36"/>
      <c r="Q12" s="36"/>
    </row>
    <row r="13" spans="1:19" ht="33.75" customHeight="1" x14ac:dyDescent="0.25">
      <c r="B13" s="43"/>
      <c r="C13" s="43"/>
      <c r="D13" s="44" t="s">
        <v>260</v>
      </c>
      <c r="E13" s="45" t="s">
        <v>261</v>
      </c>
      <c r="F13" s="46" t="s">
        <v>262</v>
      </c>
      <c r="G13" s="47" t="s">
        <v>263</v>
      </c>
      <c r="H13" s="68" t="s">
        <v>42</v>
      </c>
      <c r="I13" s="28" t="s">
        <v>61</v>
      </c>
      <c r="J13" s="49" t="s">
        <v>20</v>
      </c>
      <c r="K13" s="50"/>
      <c r="L13" s="50"/>
      <c r="M13" s="50"/>
      <c r="N13" s="51">
        <f>COUNTIF(F15:F18,"Pendiente")+COUNTIF(F15:F18,"En Progreso")+COUNTIF(F15:F18,"En Revisión")+COUNTIF(F15:F18,"Completado")+COUNTIF(F15:F18,"Bloqueado")</f>
        <v>4</v>
      </c>
      <c r="O13" s="51">
        <f>COUNTIF(F15:F18,"Completado")</f>
        <v>0</v>
      </c>
      <c r="P13" s="52">
        <f>IFERROR(O13/N13,0)</f>
        <v>0</v>
      </c>
      <c r="Q13" s="53" t="s">
        <v>255</v>
      </c>
      <c r="R13">
        <f>COUNTIF(F15:F18,"En Progreso")</f>
        <v>0</v>
      </c>
      <c r="S13">
        <f>COUNTIF(F15:F18,"Pendiente")</f>
        <v>4</v>
      </c>
    </row>
    <row r="14" spans="1:19" ht="15.75" customHeight="1" x14ac:dyDescent="0.25">
      <c r="B14" s="33"/>
      <c r="C14" s="33"/>
      <c r="D14" s="34" t="s">
        <v>45</v>
      </c>
      <c r="E14" s="35" t="s">
        <v>46</v>
      </c>
      <c r="F14" s="34" t="s">
        <v>31</v>
      </c>
      <c r="G14" s="34" t="s">
        <v>32</v>
      </c>
      <c r="H14" s="34" t="s">
        <v>34</v>
      </c>
      <c r="I14" s="34" t="s">
        <v>47</v>
      </c>
      <c r="J14" s="33"/>
      <c r="K14" s="33"/>
      <c r="L14" s="33"/>
      <c r="M14" s="33"/>
      <c r="N14" s="33"/>
      <c r="O14" s="33"/>
      <c r="P14" s="33"/>
      <c r="Q14" s="33"/>
    </row>
    <row r="15" spans="1:19" ht="15" customHeight="1" x14ac:dyDescent="0.25">
      <c r="B15" s="36"/>
      <c r="C15" s="36"/>
      <c r="D15" s="37" t="s">
        <v>260</v>
      </c>
      <c r="E15" s="38" t="s">
        <v>264</v>
      </c>
      <c r="F15" s="28" t="s">
        <v>61</v>
      </c>
      <c r="G15" s="39"/>
      <c r="H15" s="40"/>
      <c r="I15" s="41" t="s">
        <v>160</v>
      </c>
      <c r="J15" s="36"/>
      <c r="K15" s="36"/>
      <c r="L15" s="36"/>
      <c r="M15" s="36"/>
      <c r="N15" s="36"/>
      <c r="O15" s="36"/>
      <c r="P15" s="36"/>
      <c r="Q15" s="36"/>
    </row>
    <row r="16" spans="1:19" ht="15" customHeight="1" x14ac:dyDescent="0.25">
      <c r="B16" s="36"/>
      <c r="C16" s="36"/>
      <c r="D16" s="37" t="s">
        <v>260</v>
      </c>
      <c r="E16" s="38" t="s">
        <v>265</v>
      </c>
      <c r="F16" s="28" t="s">
        <v>61</v>
      </c>
      <c r="G16" s="39"/>
      <c r="H16" s="40"/>
      <c r="I16" s="41" t="s">
        <v>160</v>
      </c>
      <c r="J16" s="36"/>
      <c r="K16" s="36"/>
      <c r="L16" s="36"/>
      <c r="M16" s="36"/>
      <c r="N16" s="36"/>
      <c r="O16" s="36"/>
      <c r="P16" s="36"/>
      <c r="Q16" s="36"/>
    </row>
    <row r="17" spans="2:19" ht="15" customHeight="1" x14ac:dyDescent="0.25">
      <c r="B17" s="36"/>
      <c r="C17" s="36"/>
      <c r="D17" s="37" t="s">
        <v>260</v>
      </c>
      <c r="E17" s="38" t="s">
        <v>266</v>
      </c>
      <c r="F17" s="28" t="s">
        <v>61</v>
      </c>
      <c r="G17" s="39"/>
      <c r="H17" s="40"/>
      <c r="I17" s="41" t="s">
        <v>160</v>
      </c>
      <c r="J17" s="36"/>
      <c r="K17" s="36"/>
      <c r="L17" s="36"/>
      <c r="M17" s="36"/>
      <c r="N17" s="36"/>
      <c r="O17" s="36"/>
      <c r="P17" s="36"/>
      <c r="Q17" s="36"/>
    </row>
    <row r="18" spans="2:19" ht="15" customHeight="1" x14ac:dyDescent="0.25">
      <c r="B18" s="36"/>
      <c r="C18" s="36"/>
      <c r="D18" s="37" t="s">
        <v>260</v>
      </c>
      <c r="E18" s="38" t="s">
        <v>267</v>
      </c>
      <c r="F18" s="28" t="s">
        <v>61</v>
      </c>
      <c r="G18" s="39"/>
      <c r="H18" s="40"/>
      <c r="I18" s="41" t="s">
        <v>160</v>
      </c>
      <c r="J18" s="36"/>
      <c r="K18" s="36"/>
      <c r="L18" s="36"/>
      <c r="M18" s="36"/>
      <c r="N18" s="36"/>
      <c r="O18" s="36"/>
      <c r="P18" s="36"/>
      <c r="Q18" s="36"/>
    </row>
    <row r="19" spans="2:19" ht="33.75" customHeight="1" x14ac:dyDescent="0.25">
      <c r="B19" s="43"/>
      <c r="C19" s="43"/>
      <c r="D19" s="44" t="s">
        <v>268</v>
      </c>
      <c r="E19" s="45" t="s">
        <v>269</v>
      </c>
      <c r="F19" s="46" t="s">
        <v>270</v>
      </c>
      <c r="G19" s="47" t="s">
        <v>271</v>
      </c>
      <c r="H19" s="68" t="s">
        <v>42</v>
      </c>
      <c r="I19" s="28" t="s">
        <v>61</v>
      </c>
      <c r="J19" s="49" t="s">
        <v>20</v>
      </c>
      <c r="K19" s="50"/>
      <c r="L19" s="50"/>
      <c r="M19" s="50"/>
      <c r="N19" s="51">
        <f>COUNTIF(F21:F24,"Pendiente")+COUNTIF(F21:F24,"En Progreso")+COUNTIF(F21:F24,"En Revisión")+COUNTIF(F21:F24,"Completado")+COUNTIF(F21:F24,"Bloqueado")</f>
        <v>4</v>
      </c>
      <c r="O19" s="51">
        <f>COUNTIF(F21:F24,"Completado")</f>
        <v>0</v>
      </c>
      <c r="P19" s="52">
        <f>IFERROR(O19/N19,0)</f>
        <v>0</v>
      </c>
      <c r="Q19" s="53" t="s">
        <v>255</v>
      </c>
      <c r="R19">
        <f>COUNTIF(F21:F24,"En Progreso")</f>
        <v>0</v>
      </c>
      <c r="S19">
        <f>COUNTIF(F21:F24,"Pendiente")</f>
        <v>4</v>
      </c>
    </row>
    <row r="20" spans="2:19" ht="15.75" customHeight="1" x14ac:dyDescent="0.25">
      <c r="B20" s="33"/>
      <c r="C20" s="33"/>
      <c r="D20" s="34" t="s">
        <v>45</v>
      </c>
      <c r="E20" s="35" t="s">
        <v>46</v>
      </c>
      <c r="F20" s="34" t="s">
        <v>31</v>
      </c>
      <c r="G20" s="34" t="s">
        <v>32</v>
      </c>
      <c r="H20" s="34" t="s">
        <v>34</v>
      </c>
      <c r="I20" s="34" t="s">
        <v>47</v>
      </c>
      <c r="J20" s="33"/>
      <c r="K20" s="33"/>
      <c r="L20" s="33"/>
      <c r="M20" s="33"/>
      <c r="N20" s="33"/>
      <c r="O20" s="33"/>
      <c r="P20" s="33"/>
      <c r="Q20" s="33"/>
    </row>
    <row r="21" spans="2:19" ht="15" customHeight="1" x14ac:dyDescent="0.25">
      <c r="B21" s="36"/>
      <c r="C21" s="36"/>
      <c r="D21" s="37" t="s">
        <v>268</v>
      </c>
      <c r="E21" s="38" t="s">
        <v>272</v>
      </c>
      <c r="F21" s="28" t="s">
        <v>61</v>
      </c>
      <c r="G21" s="39"/>
      <c r="H21" s="40"/>
      <c r="I21" s="41" t="s">
        <v>160</v>
      </c>
      <c r="J21" s="36"/>
      <c r="K21" s="36"/>
      <c r="L21" s="36"/>
      <c r="M21" s="36"/>
      <c r="N21" s="36"/>
      <c r="O21" s="36"/>
      <c r="P21" s="36"/>
      <c r="Q21" s="36"/>
    </row>
    <row r="22" spans="2:19" ht="15" customHeight="1" x14ac:dyDescent="0.25">
      <c r="B22" s="36"/>
      <c r="C22" s="36"/>
      <c r="D22" s="37" t="s">
        <v>268</v>
      </c>
      <c r="E22" s="38" t="s">
        <v>273</v>
      </c>
      <c r="F22" s="28" t="s">
        <v>61</v>
      </c>
      <c r="G22" s="39"/>
      <c r="H22" s="40"/>
      <c r="I22" s="41" t="s">
        <v>160</v>
      </c>
      <c r="J22" s="36"/>
      <c r="K22" s="36"/>
      <c r="L22" s="36"/>
      <c r="M22" s="36"/>
      <c r="N22" s="36"/>
      <c r="O22" s="36"/>
      <c r="P22" s="36"/>
      <c r="Q22" s="36"/>
    </row>
    <row r="23" spans="2:19" ht="15" customHeight="1" x14ac:dyDescent="0.25">
      <c r="B23" s="36"/>
      <c r="C23" s="36"/>
      <c r="D23" s="37" t="s">
        <v>268</v>
      </c>
      <c r="E23" s="38" t="s">
        <v>274</v>
      </c>
      <c r="F23" s="28" t="s">
        <v>61</v>
      </c>
      <c r="G23" s="39"/>
      <c r="H23" s="40"/>
      <c r="I23" s="41" t="s">
        <v>160</v>
      </c>
      <c r="J23" s="36"/>
      <c r="K23" s="36"/>
      <c r="L23" s="36"/>
      <c r="M23" s="36"/>
      <c r="N23" s="36"/>
      <c r="O23" s="36"/>
      <c r="P23" s="36"/>
      <c r="Q23" s="36"/>
    </row>
    <row r="24" spans="2:19" ht="15" customHeight="1" x14ac:dyDescent="0.25">
      <c r="B24" s="36"/>
      <c r="C24" s="36"/>
      <c r="D24" s="37" t="s">
        <v>268</v>
      </c>
      <c r="E24" s="38" t="s">
        <v>275</v>
      </c>
      <c r="F24" s="28" t="s">
        <v>61</v>
      </c>
      <c r="G24" s="39"/>
      <c r="H24" s="40"/>
      <c r="I24" s="41" t="s">
        <v>160</v>
      </c>
      <c r="J24" s="36"/>
      <c r="K24" s="36"/>
      <c r="L24" s="36"/>
      <c r="M24" s="36"/>
      <c r="N24" s="36"/>
      <c r="O24" s="36"/>
      <c r="P24" s="36"/>
      <c r="Q24" s="36"/>
    </row>
    <row r="25" spans="2:19" ht="33.75" customHeight="1" x14ac:dyDescent="0.25">
      <c r="B25" s="57"/>
      <c r="C25" s="57"/>
      <c r="D25" s="58" t="s">
        <v>276</v>
      </c>
      <c r="E25" s="59" t="s">
        <v>277</v>
      </c>
      <c r="F25" s="60" t="s">
        <v>278</v>
      </c>
      <c r="G25" s="61" t="s">
        <v>279</v>
      </c>
      <c r="H25" s="62" t="s">
        <v>137</v>
      </c>
      <c r="I25" s="28" t="s">
        <v>61</v>
      </c>
      <c r="J25" s="63" t="s">
        <v>21</v>
      </c>
      <c r="K25" s="64"/>
      <c r="L25" s="64"/>
      <c r="M25" s="64"/>
      <c r="N25" s="65">
        <f>COUNTIF(F27:F30,"Pendiente")+COUNTIF(F27:F30,"En Progreso")+COUNTIF(F27:F30,"En Revisión")+COUNTIF(F27:F30,"Completado")+COUNTIF(F27:F30,"Bloqueado")</f>
        <v>4</v>
      </c>
      <c r="O25" s="65">
        <f>COUNTIF(F27:F30,"Completado")</f>
        <v>0</v>
      </c>
      <c r="P25" s="66">
        <f>IFERROR(O25/N25,0)</f>
        <v>0</v>
      </c>
      <c r="Q25" s="67" t="s">
        <v>255</v>
      </c>
      <c r="R25">
        <f>COUNTIF(F27:F30,"En Progreso")</f>
        <v>0</v>
      </c>
      <c r="S25">
        <f>COUNTIF(F27:F30,"Pendiente")</f>
        <v>4</v>
      </c>
    </row>
    <row r="26" spans="2:19" ht="15.75" customHeight="1" x14ac:dyDescent="0.25">
      <c r="B26" s="33"/>
      <c r="C26" s="33"/>
      <c r="D26" s="34" t="s">
        <v>45</v>
      </c>
      <c r="E26" s="35" t="s">
        <v>46</v>
      </c>
      <c r="F26" s="34" t="s">
        <v>31</v>
      </c>
      <c r="G26" s="34" t="s">
        <v>32</v>
      </c>
      <c r="H26" s="34" t="s">
        <v>34</v>
      </c>
      <c r="I26" s="34" t="s">
        <v>47</v>
      </c>
      <c r="J26" s="33"/>
      <c r="K26" s="33"/>
      <c r="L26" s="33"/>
      <c r="M26" s="33"/>
      <c r="N26" s="33"/>
      <c r="O26" s="33"/>
      <c r="P26" s="33"/>
      <c r="Q26" s="33"/>
    </row>
    <row r="27" spans="2:19" ht="15" customHeight="1" x14ac:dyDescent="0.25">
      <c r="B27" s="36"/>
      <c r="C27" s="36"/>
      <c r="D27" s="37" t="s">
        <v>276</v>
      </c>
      <c r="E27" s="38" t="s">
        <v>280</v>
      </c>
      <c r="F27" s="28" t="s">
        <v>61</v>
      </c>
      <c r="G27" s="39"/>
      <c r="H27" s="40"/>
      <c r="I27" s="41" t="s">
        <v>160</v>
      </c>
      <c r="J27" s="36"/>
      <c r="K27" s="36"/>
      <c r="L27" s="36"/>
      <c r="M27" s="36"/>
      <c r="N27" s="36"/>
      <c r="O27" s="36"/>
      <c r="P27" s="36"/>
      <c r="Q27" s="36"/>
    </row>
    <row r="28" spans="2:19" ht="15" customHeight="1" x14ac:dyDescent="0.25">
      <c r="B28" s="36"/>
      <c r="C28" s="36"/>
      <c r="D28" s="37" t="s">
        <v>276</v>
      </c>
      <c r="E28" s="38" t="s">
        <v>281</v>
      </c>
      <c r="F28" s="28" t="s">
        <v>61</v>
      </c>
      <c r="G28" s="39"/>
      <c r="H28" s="40"/>
      <c r="I28" s="41" t="s">
        <v>160</v>
      </c>
      <c r="J28" s="36"/>
      <c r="K28" s="36"/>
      <c r="L28" s="36"/>
      <c r="M28" s="36"/>
      <c r="N28" s="36"/>
      <c r="O28" s="36"/>
      <c r="P28" s="36"/>
      <c r="Q28" s="36"/>
    </row>
    <row r="29" spans="2:19" ht="15" customHeight="1" x14ac:dyDescent="0.25">
      <c r="B29" s="36"/>
      <c r="C29" s="36"/>
      <c r="D29" s="37" t="s">
        <v>276</v>
      </c>
      <c r="E29" s="38" t="s">
        <v>282</v>
      </c>
      <c r="F29" s="28" t="s">
        <v>61</v>
      </c>
      <c r="G29" s="39"/>
      <c r="H29" s="40"/>
      <c r="I29" s="41" t="s">
        <v>160</v>
      </c>
      <c r="J29" s="36"/>
      <c r="K29" s="36"/>
      <c r="L29" s="36"/>
      <c r="M29" s="36"/>
      <c r="N29" s="36"/>
      <c r="O29" s="36"/>
      <c r="P29" s="36"/>
      <c r="Q29" s="36"/>
    </row>
    <row r="30" spans="2:19" ht="15" customHeight="1" x14ac:dyDescent="0.25">
      <c r="B30" s="36"/>
      <c r="C30" s="36"/>
      <c r="D30" s="37" t="s">
        <v>276</v>
      </c>
      <c r="E30" s="38" t="s">
        <v>283</v>
      </c>
      <c r="F30" s="28" t="s">
        <v>61</v>
      </c>
      <c r="G30" s="39"/>
      <c r="H30" s="40"/>
      <c r="I30" s="41" t="s">
        <v>160</v>
      </c>
      <c r="J30" s="36"/>
      <c r="K30" s="36"/>
      <c r="L30" s="36"/>
      <c r="M30" s="36"/>
      <c r="N30" s="36"/>
      <c r="O30" s="36"/>
      <c r="P30" s="36"/>
      <c r="Q30" s="36"/>
    </row>
    <row r="31" spans="2:19" ht="33.75" customHeight="1" x14ac:dyDescent="0.25">
      <c r="B31" s="43"/>
      <c r="C31" s="43"/>
      <c r="D31" s="44" t="s">
        <v>284</v>
      </c>
      <c r="E31" s="45" t="s">
        <v>285</v>
      </c>
      <c r="F31" s="46" t="s">
        <v>286</v>
      </c>
      <c r="G31" s="47" t="s">
        <v>99</v>
      </c>
      <c r="H31" s="48" t="s">
        <v>137</v>
      </c>
      <c r="I31" s="28" t="s">
        <v>61</v>
      </c>
      <c r="J31" s="49" t="s">
        <v>20</v>
      </c>
      <c r="K31" s="50"/>
      <c r="L31" s="50"/>
      <c r="M31" s="50"/>
      <c r="N31" s="51">
        <f>COUNTIF(F33:F36,"Pendiente")+COUNTIF(F33:F36,"En Progreso")+COUNTIF(F33:F36,"En Revisión")+COUNTIF(F33:F36,"Completado")+COUNTIF(F33:F36,"Bloqueado")</f>
        <v>4</v>
      </c>
      <c r="O31" s="51">
        <f>COUNTIF(F33:F36,"Completado")</f>
        <v>0</v>
      </c>
      <c r="P31" s="52">
        <f>IFERROR(O31/N31,0)</f>
        <v>0</v>
      </c>
      <c r="Q31" s="53" t="s">
        <v>255</v>
      </c>
      <c r="R31">
        <f>COUNTIF(F33:F36,"En Progreso")</f>
        <v>0</v>
      </c>
      <c r="S31">
        <f>COUNTIF(F33:F36,"Pendiente")</f>
        <v>4</v>
      </c>
    </row>
    <row r="32" spans="2:19" ht="15.75" customHeight="1" x14ac:dyDescent="0.25">
      <c r="B32" s="33"/>
      <c r="C32" s="33"/>
      <c r="D32" s="34" t="s">
        <v>45</v>
      </c>
      <c r="E32" s="35" t="s">
        <v>46</v>
      </c>
      <c r="F32" s="34" t="s">
        <v>31</v>
      </c>
      <c r="G32" s="34" t="s">
        <v>32</v>
      </c>
      <c r="H32" s="34" t="s">
        <v>34</v>
      </c>
      <c r="I32" s="34" t="s">
        <v>47</v>
      </c>
      <c r="J32" s="33"/>
      <c r="K32" s="33"/>
      <c r="L32" s="33"/>
      <c r="M32" s="33"/>
      <c r="N32" s="33"/>
      <c r="O32" s="33"/>
      <c r="P32" s="33"/>
      <c r="Q32" s="33"/>
    </row>
    <row r="33" spans="2:19" ht="15" customHeight="1" x14ac:dyDescent="0.25">
      <c r="B33" s="36"/>
      <c r="C33" s="36"/>
      <c r="D33" s="37" t="s">
        <v>284</v>
      </c>
      <c r="E33" s="38" t="s">
        <v>287</v>
      </c>
      <c r="F33" s="28" t="s">
        <v>61</v>
      </c>
      <c r="G33" s="39"/>
      <c r="H33" s="40"/>
      <c r="I33" s="41" t="s">
        <v>160</v>
      </c>
      <c r="J33" s="36"/>
      <c r="K33" s="36"/>
      <c r="L33" s="36"/>
      <c r="M33" s="36"/>
      <c r="N33" s="36"/>
      <c r="O33" s="36"/>
      <c r="P33" s="36"/>
      <c r="Q33" s="36"/>
    </row>
    <row r="34" spans="2:19" ht="15" customHeight="1" x14ac:dyDescent="0.25">
      <c r="B34" s="36"/>
      <c r="C34" s="36"/>
      <c r="D34" s="37" t="s">
        <v>284</v>
      </c>
      <c r="E34" s="38" t="s">
        <v>288</v>
      </c>
      <c r="F34" s="28" t="s">
        <v>61</v>
      </c>
      <c r="G34" s="39"/>
      <c r="H34" s="40"/>
      <c r="I34" s="41" t="s">
        <v>160</v>
      </c>
      <c r="J34" s="36"/>
      <c r="K34" s="36"/>
      <c r="L34" s="36"/>
      <c r="M34" s="36"/>
      <c r="N34" s="36"/>
      <c r="O34" s="36"/>
      <c r="P34" s="36"/>
      <c r="Q34" s="36"/>
    </row>
    <row r="35" spans="2:19" ht="15" customHeight="1" x14ac:dyDescent="0.25">
      <c r="B35" s="36"/>
      <c r="C35" s="36"/>
      <c r="D35" s="37" t="s">
        <v>284</v>
      </c>
      <c r="E35" s="38" t="s">
        <v>289</v>
      </c>
      <c r="F35" s="28" t="s">
        <v>61</v>
      </c>
      <c r="G35" s="39"/>
      <c r="H35" s="40"/>
      <c r="I35" s="41" t="s">
        <v>160</v>
      </c>
      <c r="J35" s="36"/>
      <c r="K35" s="36"/>
      <c r="L35" s="36"/>
      <c r="M35" s="36"/>
      <c r="N35" s="36"/>
      <c r="O35" s="36"/>
      <c r="P35" s="36"/>
      <c r="Q35" s="36"/>
    </row>
    <row r="36" spans="2:19" ht="15" customHeight="1" x14ac:dyDescent="0.25">
      <c r="B36" s="36"/>
      <c r="C36" s="36"/>
      <c r="D36" s="37" t="s">
        <v>284</v>
      </c>
      <c r="E36" s="38" t="s">
        <v>290</v>
      </c>
      <c r="F36" s="28" t="s">
        <v>61</v>
      </c>
      <c r="G36" s="39"/>
      <c r="H36" s="40"/>
      <c r="I36" s="41" t="s">
        <v>160</v>
      </c>
      <c r="J36" s="36"/>
      <c r="K36" s="36"/>
      <c r="L36" s="36"/>
      <c r="M36" s="36"/>
      <c r="N36" s="36"/>
      <c r="O36" s="36"/>
      <c r="P36" s="36"/>
      <c r="Q36" s="36"/>
    </row>
    <row r="37" spans="2:19" ht="33.75" customHeight="1" x14ac:dyDescent="0.25">
      <c r="B37" s="43"/>
      <c r="C37" s="43"/>
      <c r="D37" s="44" t="s">
        <v>291</v>
      </c>
      <c r="E37" s="45" t="s">
        <v>292</v>
      </c>
      <c r="F37" s="46" t="s">
        <v>293</v>
      </c>
      <c r="G37" s="47" t="s">
        <v>263</v>
      </c>
      <c r="H37" s="48" t="s">
        <v>137</v>
      </c>
      <c r="I37" s="28" t="s">
        <v>61</v>
      </c>
      <c r="J37" s="49" t="s">
        <v>20</v>
      </c>
      <c r="K37" s="50"/>
      <c r="L37" s="50"/>
      <c r="M37" s="50"/>
      <c r="N37" s="51">
        <f>COUNTIF(F39:F42,"Pendiente")+COUNTIF(F39:F42,"En Progreso")+COUNTIF(F39:F42,"En Revisión")+COUNTIF(F39:F42,"Completado")+COUNTIF(F39:F42,"Bloqueado")</f>
        <v>4</v>
      </c>
      <c r="O37" s="51">
        <f>COUNTIF(F39:F42,"Completado")</f>
        <v>0</v>
      </c>
      <c r="P37" s="52">
        <f>IFERROR(O37/N37,0)</f>
        <v>0</v>
      </c>
      <c r="Q37" s="53" t="s">
        <v>255</v>
      </c>
      <c r="R37">
        <f>COUNTIF(F39:F42,"En Progreso")</f>
        <v>0</v>
      </c>
      <c r="S37">
        <f>COUNTIF(F39:F42,"Pendiente")</f>
        <v>4</v>
      </c>
    </row>
    <row r="38" spans="2:19" ht="15.75" customHeight="1" x14ac:dyDescent="0.25">
      <c r="B38" s="33"/>
      <c r="C38" s="33"/>
      <c r="D38" s="34" t="s">
        <v>45</v>
      </c>
      <c r="E38" s="35" t="s">
        <v>46</v>
      </c>
      <c r="F38" s="34" t="s">
        <v>31</v>
      </c>
      <c r="G38" s="34" t="s">
        <v>32</v>
      </c>
      <c r="H38" s="34" t="s">
        <v>34</v>
      </c>
      <c r="I38" s="34" t="s">
        <v>47</v>
      </c>
      <c r="J38" s="33"/>
      <c r="K38" s="33"/>
      <c r="L38" s="33"/>
      <c r="M38" s="33"/>
      <c r="N38" s="33"/>
      <c r="O38" s="33"/>
      <c r="P38" s="33"/>
      <c r="Q38" s="33"/>
    </row>
    <row r="39" spans="2:19" ht="15" customHeight="1" x14ac:dyDescent="0.25">
      <c r="B39" s="36"/>
      <c r="C39" s="36"/>
      <c r="D39" s="37" t="s">
        <v>291</v>
      </c>
      <c r="E39" s="38" t="s">
        <v>294</v>
      </c>
      <c r="F39" s="28" t="s">
        <v>61</v>
      </c>
      <c r="G39" s="39"/>
      <c r="H39" s="40"/>
      <c r="I39" s="41" t="s">
        <v>160</v>
      </c>
      <c r="J39" s="36"/>
      <c r="K39" s="36"/>
      <c r="L39" s="36"/>
      <c r="M39" s="36"/>
      <c r="N39" s="36"/>
      <c r="O39" s="36"/>
      <c r="P39" s="36"/>
      <c r="Q39" s="36"/>
    </row>
    <row r="40" spans="2:19" ht="15" customHeight="1" x14ac:dyDescent="0.25">
      <c r="B40" s="36"/>
      <c r="C40" s="36"/>
      <c r="D40" s="37" t="s">
        <v>291</v>
      </c>
      <c r="E40" s="38" t="s">
        <v>295</v>
      </c>
      <c r="F40" s="28" t="s">
        <v>61</v>
      </c>
      <c r="G40" s="39"/>
      <c r="H40" s="40"/>
      <c r="I40" s="41" t="s">
        <v>160</v>
      </c>
      <c r="J40" s="36"/>
      <c r="K40" s="36"/>
      <c r="L40" s="36"/>
      <c r="M40" s="36"/>
      <c r="N40" s="36"/>
      <c r="O40" s="36"/>
      <c r="P40" s="36"/>
      <c r="Q40" s="36"/>
    </row>
    <row r="41" spans="2:19" ht="15" customHeight="1" x14ac:dyDescent="0.25">
      <c r="B41" s="36"/>
      <c r="C41" s="36"/>
      <c r="D41" s="37" t="s">
        <v>291</v>
      </c>
      <c r="E41" s="38" t="s">
        <v>296</v>
      </c>
      <c r="F41" s="28" t="s">
        <v>61</v>
      </c>
      <c r="G41" s="39"/>
      <c r="H41" s="40"/>
      <c r="I41" s="41" t="s">
        <v>160</v>
      </c>
      <c r="J41" s="36"/>
      <c r="K41" s="36"/>
      <c r="L41" s="36"/>
      <c r="M41" s="36"/>
      <c r="N41" s="36"/>
      <c r="O41" s="36"/>
      <c r="P41" s="36"/>
      <c r="Q41" s="36"/>
    </row>
    <row r="42" spans="2:19" ht="15" customHeight="1" x14ac:dyDescent="0.25">
      <c r="B42" s="36"/>
      <c r="C42" s="36"/>
      <c r="D42" s="37" t="s">
        <v>291</v>
      </c>
      <c r="E42" s="38" t="s">
        <v>297</v>
      </c>
      <c r="F42" s="28" t="s">
        <v>61</v>
      </c>
      <c r="G42" s="39"/>
      <c r="H42" s="40"/>
      <c r="I42" s="41" t="s">
        <v>160</v>
      </c>
      <c r="J42" s="36"/>
      <c r="K42" s="36"/>
      <c r="L42" s="36"/>
      <c r="M42" s="36"/>
      <c r="N42" s="36"/>
      <c r="O42" s="36"/>
      <c r="P42" s="36"/>
      <c r="Q42" s="36"/>
    </row>
    <row r="44" spans="2:19" ht="21.75" customHeight="1" x14ac:dyDescent="0.25">
      <c r="B44" s="3" t="s">
        <v>173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54">
        <f>COUNTIF(F7:F43,"Pendiente")+COUNTIF(F7:F43,"En Progreso")+COUNTIF(F7:F43,"En Revisión")+COUNTIF(F7:F43,"Completado")+COUNTIF(F7:F43,"Bloqueado")</f>
        <v>24</v>
      </c>
      <c r="O44" s="54">
        <f>COUNTIF(F7:F43,"Completado")</f>
        <v>0</v>
      </c>
      <c r="P44" s="55">
        <f>IFERROR(O44/N44,0)</f>
        <v>0</v>
      </c>
      <c r="Q44" s="56"/>
    </row>
  </sheetData>
  <mergeCells count="4">
    <mergeCell ref="A2:Q2"/>
    <mergeCell ref="A3:Q3"/>
    <mergeCell ref="A4:Q4"/>
    <mergeCell ref="B44:M44"/>
  </mergeCells>
  <dataValidations count="2">
    <dataValidation type="list" allowBlank="1" sqref="I7 F9:F12 I13 F15:F18 I19 F21:F24 I25 F27:F30 I31 F33:F36 I37 F39:F42" xr:uid="{00000000-0002-0000-0300-000000000000}">
      <formula1>"Pendiente,En Progreso,En Revisión,Completado,Bloqueado"</formula1>
      <formula2>0</formula2>
    </dataValidation>
    <dataValidation type="list" allowBlank="1" sqref="J7 J13 J19 J25 J31 J37" xr:uid="{00000000-0002-0000-0300-000001000000}">
      <formula1>"Demo,Fase 2,Fase 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4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7109375" defaultRowHeight="15" x14ac:dyDescent="0.25"/>
  <cols>
    <col min="1" max="1" width="2" customWidth="1"/>
    <col min="2" max="2" width="4" customWidth="1"/>
    <col min="3" max="3" width="3" customWidth="1"/>
    <col min="4" max="4" width="12" customWidth="1"/>
    <col min="5" max="5" width="30" customWidth="1"/>
    <col min="6" max="6" width="34" customWidth="1"/>
    <col min="7" max="7" width="19" customWidth="1"/>
    <col min="8" max="8" width="11" customWidth="1"/>
    <col min="9" max="9" width="15" customWidth="1"/>
    <col min="10" max="10" width="9" customWidth="1"/>
    <col min="11" max="11" width="15" customWidth="1"/>
    <col min="12" max="13" width="11" customWidth="1"/>
    <col min="14" max="14" width="9" customWidth="1"/>
    <col min="15" max="15" width="10" customWidth="1"/>
    <col min="16" max="16" width="9" customWidth="1"/>
    <col min="17" max="17" width="40" customWidth="1"/>
    <col min="18" max="19" width="13" hidden="1" customWidth="1"/>
  </cols>
  <sheetData>
    <row r="1" spans="1:19" ht="7.5" customHeight="1" x14ac:dyDescent="0.25"/>
    <row r="2" spans="1:19" ht="39.75" customHeight="1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9" ht="19.5" customHeight="1" x14ac:dyDescent="0.25">
      <c r="A3" s="5" t="s">
        <v>298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9" ht="42" customHeight="1" x14ac:dyDescent="0.25">
      <c r="A4" s="4" t="s">
        <v>299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9" ht="6" customHeight="1" x14ac:dyDescent="0.25"/>
    <row r="6" spans="1:19" ht="25.5" customHeight="1" x14ac:dyDescent="0.25">
      <c r="A6" s="11"/>
      <c r="B6" s="11" t="s">
        <v>25</v>
      </c>
      <c r="C6" s="11"/>
      <c r="D6" s="11" t="s">
        <v>26</v>
      </c>
      <c r="E6" s="11" t="s">
        <v>27</v>
      </c>
      <c r="F6" s="11" t="s">
        <v>28</v>
      </c>
      <c r="G6" s="11" t="s">
        <v>29</v>
      </c>
      <c r="H6" s="11" t="s">
        <v>30</v>
      </c>
      <c r="I6" s="11" t="s">
        <v>31</v>
      </c>
      <c r="J6" s="11" t="s">
        <v>18</v>
      </c>
      <c r="K6" s="11" t="s">
        <v>32</v>
      </c>
      <c r="L6" s="11" t="s">
        <v>33</v>
      </c>
      <c r="M6" s="11" t="s">
        <v>34</v>
      </c>
      <c r="N6" s="11" t="s">
        <v>35</v>
      </c>
      <c r="O6" s="11" t="s">
        <v>36</v>
      </c>
      <c r="P6" s="11" t="s">
        <v>9</v>
      </c>
      <c r="Q6" s="11" t="s">
        <v>37</v>
      </c>
    </row>
    <row r="7" spans="1:19" ht="33.75" customHeight="1" x14ac:dyDescent="0.25">
      <c r="B7" s="43"/>
      <c r="C7" s="43"/>
      <c r="D7" s="44" t="s">
        <v>300</v>
      </c>
      <c r="E7" s="45" t="s">
        <v>301</v>
      </c>
      <c r="F7" s="46" t="s">
        <v>302</v>
      </c>
      <c r="G7" s="47" t="s">
        <v>303</v>
      </c>
      <c r="H7" s="68" t="s">
        <v>42</v>
      </c>
      <c r="I7" s="28" t="s">
        <v>61</v>
      </c>
      <c r="J7" s="49" t="s">
        <v>20</v>
      </c>
      <c r="K7" s="50"/>
      <c r="L7" s="50"/>
      <c r="M7" s="50"/>
      <c r="N7" s="51">
        <f>COUNTIF(F9:F12,"Pendiente")+COUNTIF(F9:F12,"En Progreso")+COUNTIF(F9:F12,"En Revisión")+COUNTIF(F9:F12,"Completado")+COUNTIF(F9:F12,"Bloqueado")</f>
        <v>4</v>
      </c>
      <c r="O7" s="51">
        <f>COUNTIF(F9:F12,"Completado")</f>
        <v>0</v>
      </c>
      <c r="P7" s="52">
        <f>IFERROR(O7/N7,0)</f>
        <v>0</v>
      </c>
      <c r="Q7" s="53" t="s">
        <v>255</v>
      </c>
      <c r="R7">
        <f>COUNTIF(F9:F12,"En Progreso")</f>
        <v>0</v>
      </c>
      <c r="S7">
        <f>COUNTIF(F9:F12,"Pendiente")</f>
        <v>4</v>
      </c>
    </row>
    <row r="8" spans="1:19" ht="15.75" customHeight="1" x14ac:dyDescent="0.25">
      <c r="B8" s="33"/>
      <c r="C8" s="33"/>
      <c r="D8" s="34" t="s">
        <v>45</v>
      </c>
      <c r="E8" s="35" t="s">
        <v>46</v>
      </c>
      <c r="F8" s="34" t="s">
        <v>31</v>
      </c>
      <c r="G8" s="34" t="s">
        <v>32</v>
      </c>
      <c r="H8" s="34" t="s">
        <v>34</v>
      </c>
      <c r="I8" s="34" t="s">
        <v>47</v>
      </c>
      <c r="J8" s="33"/>
      <c r="K8" s="33"/>
      <c r="L8" s="33"/>
      <c r="M8" s="33"/>
      <c r="N8" s="33"/>
      <c r="O8" s="33"/>
      <c r="P8" s="33"/>
      <c r="Q8" s="33"/>
    </row>
    <row r="9" spans="1:19" ht="15" customHeight="1" x14ac:dyDescent="0.25">
      <c r="B9" s="36"/>
      <c r="C9" s="36"/>
      <c r="D9" s="37" t="s">
        <v>300</v>
      </c>
      <c r="E9" s="38" t="s">
        <v>304</v>
      </c>
      <c r="F9" s="28" t="s">
        <v>61</v>
      </c>
      <c r="G9" s="39"/>
      <c r="H9" s="40"/>
      <c r="I9" s="41" t="s">
        <v>160</v>
      </c>
      <c r="J9" s="36"/>
      <c r="K9" s="36"/>
      <c r="L9" s="36"/>
      <c r="M9" s="36"/>
      <c r="N9" s="36"/>
      <c r="O9" s="36"/>
      <c r="P9" s="36"/>
      <c r="Q9" s="36"/>
    </row>
    <row r="10" spans="1:19" ht="15" customHeight="1" x14ac:dyDescent="0.25">
      <c r="B10" s="36"/>
      <c r="C10" s="36"/>
      <c r="D10" s="37" t="s">
        <v>300</v>
      </c>
      <c r="E10" s="38" t="s">
        <v>305</v>
      </c>
      <c r="F10" s="28" t="s">
        <v>61</v>
      </c>
      <c r="G10" s="39"/>
      <c r="H10" s="40"/>
      <c r="I10" s="41" t="s">
        <v>160</v>
      </c>
      <c r="J10" s="36"/>
      <c r="K10" s="36"/>
      <c r="L10" s="36"/>
      <c r="M10" s="36"/>
      <c r="N10" s="36"/>
      <c r="O10" s="36"/>
      <c r="P10" s="36"/>
      <c r="Q10" s="36"/>
    </row>
    <row r="11" spans="1:19" ht="15" customHeight="1" x14ac:dyDescent="0.25">
      <c r="B11" s="36"/>
      <c r="C11" s="36"/>
      <c r="D11" s="37" t="s">
        <v>300</v>
      </c>
      <c r="E11" s="38" t="s">
        <v>306</v>
      </c>
      <c r="F11" s="28" t="s">
        <v>61</v>
      </c>
      <c r="G11" s="39"/>
      <c r="H11" s="40"/>
      <c r="I11" s="41" t="s">
        <v>160</v>
      </c>
      <c r="J11" s="36"/>
      <c r="K11" s="36"/>
      <c r="L11" s="36"/>
      <c r="M11" s="36"/>
      <c r="N11" s="36"/>
      <c r="O11" s="36"/>
      <c r="P11" s="36"/>
      <c r="Q11" s="36"/>
    </row>
    <row r="12" spans="1:19" ht="15" customHeight="1" x14ac:dyDescent="0.25">
      <c r="B12" s="36"/>
      <c r="C12" s="36"/>
      <c r="D12" s="37" t="s">
        <v>300</v>
      </c>
      <c r="E12" s="38" t="s">
        <v>307</v>
      </c>
      <c r="F12" s="28" t="s">
        <v>61</v>
      </c>
      <c r="G12" s="39"/>
      <c r="H12" s="40"/>
      <c r="I12" s="41" t="s">
        <v>160</v>
      </c>
      <c r="J12" s="36"/>
      <c r="K12" s="36"/>
      <c r="L12" s="36"/>
      <c r="M12" s="36"/>
      <c r="N12" s="36"/>
      <c r="O12" s="36"/>
      <c r="P12" s="36"/>
      <c r="Q12" s="36"/>
    </row>
    <row r="13" spans="1:19" ht="33.75" customHeight="1" x14ac:dyDescent="0.25">
      <c r="B13" s="43"/>
      <c r="C13" s="43"/>
      <c r="D13" s="44" t="s">
        <v>308</v>
      </c>
      <c r="E13" s="45" t="s">
        <v>309</v>
      </c>
      <c r="F13" s="46" t="s">
        <v>310</v>
      </c>
      <c r="G13" s="47" t="s">
        <v>311</v>
      </c>
      <c r="H13" s="68" t="s">
        <v>42</v>
      </c>
      <c r="I13" s="28" t="s">
        <v>61</v>
      </c>
      <c r="J13" s="49" t="s">
        <v>20</v>
      </c>
      <c r="K13" s="50"/>
      <c r="L13" s="50"/>
      <c r="M13" s="50"/>
      <c r="N13" s="51">
        <f>COUNTIF(F15:F18,"Pendiente")+COUNTIF(F15:F18,"En Progreso")+COUNTIF(F15:F18,"En Revisión")+COUNTIF(F15:F18,"Completado")+COUNTIF(F15:F18,"Bloqueado")</f>
        <v>4</v>
      </c>
      <c r="O13" s="51">
        <f>COUNTIF(F15:F18,"Completado")</f>
        <v>0</v>
      </c>
      <c r="P13" s="52">
        <f>IFERROR(O13/N13,0)</f>
        <v>0</v>
      </c>
      <c r="Q13" s="53" t="s">
        <v>255</v>
      </c>
      <c r="R13">
        <f>COUNTIF(F15:F18,"En Progreso")</f>
        <v>0</v>
      </c>
      <c r="S13">
        <f>COUNTIF(F15:F18,"Pendiente")</f>
        <v>4</v>
      </c>
    </row>
    <row r="14" spans="1:19" ht="15.75" customHeight="1" x14ac:dyDescent="0.25">
      <c r="B14" s="33"/>
      <c r="C14" s="33"/>
      <c r="D14" s="34" t="s">
        <v>45</v>
      </c>
      <c r="E14" s="35" t="s">
        <v>46</v>
      </c>
      <c r="F14" s="34" t="s">
        <v>31</v>
      </c>
      <c r="G14" s="34" t="s">
        <v>32</v>
      </c>
      <c r="H14" s="34" t="s">
        <v>34</v>
      </c>
      <c r="I14" s="34" t="s">
        <v>47</v>
      </c>
      <c r="J14" s="33"/>
      <c r="K14" s="33"/>
      <c r="L14" s="33"/>
      <c r="M14" s="33"/>
      <c r="N14" s="33"/>
      <c r="O14" s="33"/>
      <c r="P14" s="33"/>
      <c r="Q14" s="33"/>
    </row>
    <row r="15" spans="1:19" ht="15" customHeight="1" x14ac:dyDescent="0.25">
      <c r="B15" s="36"/>
      <c r="C15" s="36"/>
      <c r="D15" s="37" t="s">
        <v>308</v>
      </c>
      <c r="E15" s="38" t="s">
        <v>312</v>
      </c>
      <c r="F15" s="28" t="s">
        <v>61</v>
      </c>
      <c r="G15" s="39"/>
      <c r="H15" s="40"/>
      <c r="I15" s="41" t="s">
        <v>160</v>
      </c>
      <c r="J15" s="36"/>
      <c r="K15" s="36"/>
      <c r="L15" s="36"/>
      <c r="M15" s="36"/>
      <c r="N15" s="36"/>
      <c r="O15" s="36"/>
      <c r="P15" s="36"/>
      <c r="Q15" s="36"/>
    </row>
    <row r="16" spans="1:19" ht="15" customHeight="1" x14ac:dyDescent="0.25">
      <c r="B16" s="36"/>
      <c r="C16" s="36"/>
      <c r="D16" s="37" t="s">
        <v>308</v>
      </c>
      <c r="E16" s="38" t="s">
        <v>313</v>
      </c>
      <c r="F16" s="28" t="s">
        <v>61</v>
      </c>
      <c r="G16" s="39"/>
      <c r="H16" s="40"/>
      <c r="I16" s="41" t="s">
        <v>160</v>
      </c>
      <c r="J16" s="36"/>
      <c r="K16" s="36"/>
      <c r="L16" s="36"/>
      <c r="M16" s="36"/>
      <c r="N16" s="36"/>
      <c r="O16" s="36"/>
      <c r="P16" s="36"/>
      <c r="Q16" s="36"/>
    </row>
    <row r="17" spans="2:19" ht="15" customHeight="1" x14ac:dyDescent="0.25">
      <c r="B17" s="36"/>
      <c r="C17" s="36"/>
      <c r="D17" s="37" t="s">
        <v>308</v>
      </c>
      <c r="E17" s="38" t="s">
        <v>314</v>
      </c>
      <c r="F17" s="28" t="s">
        <v>61</v>
      </c>
      <c r="G17" s="39"/>
      <c r="H17" s="40"/>
      <c r="I17" s="41" t="s">
        <v>160</v>
      </c>
      <c r="J17" s="36"/>
      <c r="K17" s="36"/>
      <c r="L17" s="36"/>
      <c r="M17" s="36"/>
      <c r="N17" s="36"/>
      <c r="O17" s="36"/>
      <c r="P17" s="36"/>
      <c r="Q17" s="36"/>
    </row>
    <row r="18" spans="2:19" ht="15" customHeight="1" x14ac:dyDescent="0.25">
      <c r="B18" s="36"/>
      <c r="C18" s="36"/>
      <c r="D18" s="37" t="s">
        <v>308</v>
      </c>
      <c r="E18" s="38" t="s">
        <v>315</v>
      </c>
      <c r="F18" s="28" t="s">
        <v>61</v>
      </c>
      <c r="G18" s="39"/>
      <c r="H18" s="40"/>
      <c r="I18" s="41" t="s">
        <v>160</v>
      </c>
      <c r="J18" s="36"/>
      <c r="K18" s="36"/>
      <c r="L18" s="36"/>
      <c r="M18" s="36"/>
      <c r="N18" s="36"/>
      <c r="O18" s="36"/>
      <c r="P18" s="36"/>
      <c r="Q18" s="36"/>
    </row>
    <row r="19" spans="2:19" ht="33.75" customHeight="1" x14ac:dyDescent="0.25">
      <c r="B19" s="57"/>
      <c r="C19" s="57"/>
      <c r="D19" s="58" t="s">
        <v>316</v>
      </c>
      <c r="E19" s="59" t="s">
        <v>317</v>
      </c>
      <c r="F19" s="60" t="s">
        <v>318</v>
      </c>
      <c r="G19" s="61" t="s">
        <v>244</v>
      </c>
      <c r="H19" s="69" t="s">
        <v>42</v>
      </c>
      <c r="I19" s="28" t="s">
        <v>61</v>
      </c>
      <c r="J19" s="63" t="s">
        <v>21</v>
      </c>
      <c r="K19" s="64"/>
      <c r="L19" s="64"/>
      <c r="M19" s="64"/>
      <c r="N19" s="65">
        <f>COUNTIF(F21:F24,"Pendiente")+COUNTIF(F21:F24,"En Progreso")+COUNTIF(F21:F24,"En Revisión")+COUNTIF(F21:F24,"Completado")+COUNTIF(F21:F24,"Bloqueado")</f>
        <v>4</v>
      </c>
      <c r="O19" s="65">
        <f>COUNTIF(F21:F24,"Completado")</f>
        <v>0</v>
      </c>
      <c r="P19" s="66">
        <f>IFERROR(O19/N19,0)</f>
        <v>0</v>
      </c>
      <c r="Q19" s="67" t="s">
        <v>255</v>
      </c>
      <c r="R19">
        <f>COUNTIF(F21:F24,"En Progreso")</f>
        <v>0</v>
      </c>
      <c r="S19">
        <f>COUNTIF(F21:F24,"Pendiente")</f>
        <v>4</v>
      </c>
    </row>
    <row r="20" spans="2:19" ht="15.75" customHeight="1" x14ac:dyDescent="0.25">
      <c r="B20" s="33"/>
      <c r="C20" s="33"/>
      <c r="D20" s="34" t="s">
        <v>45</v>
      </c>
      <c r="E20" s="35" t="s">
        <v>46</v>
      </c>
      <c r="F20" s="34" t="s">
        <v>31</v>
      </c>
      <c r="G20" s="34" t="s">
        <v>32</v>
      </c>
      <c r="H20" s="34" t="s">
        <v>34</v>
      </c>
      <c r="I20" s="34" t="s">
        <v>47</v>
      </c>
      <c r="J20" s="33"/>
      <c r="K20" s="33"/>
      <c r="L20" s="33"/>
      <c r="M20" s="33"/>
      <c r="N20" s="33"/>
      <c r="O20" s="33"/>
      <c r="P20" s="33"/>
      <c r="Q20" s="33"/>
    </row>
    <row r="21" spans="2:19" ht="15" customHeight="1" x14ac:dyDescent="0.25">
      <c r="B21" s="36"/>
      <c r="C21" s="36"/>
      <c r="D21" s="37" t="s">
        <v>316</v>
      </c>
      <c r="E21" s="38" t="s">
        <v>319</v>
      </c>
      <c r="F21" s="28" t="s">
        <v>61</v>
      </c>
      <c r="G21" s="39"/>
      <c r="H21" s="40"/>
      <c r="I21" s="41" t="s">
        <v>160</v>
      </c>
      <c r="J21" s="36"/>
      <c r="K21" s="36"/>
      <c r="L21" s="36"/>
      <c r="M21" s="36"/>
      <c r="N21" s="36"/>
      <c r="O21" s="36"/>
      <c r="P21" s="36"/>
      <c r="Q21" s="36"/>
    </row>
    <row r="22" spans="2:19" ht="15" customHeight="1" x14ac:dyDescent="0.25">
      <c r="B22" s="36"/>
      <c r="C22" s="36"/>
      <c r="D22" s="37" t="s">
        <v>316</v>
      </c>
      <c r="E22" s="38" t="s">
        <v>320</v>
      </c>
      <c r="F22" s="28" t="s">
        <v>61</v>
      </c>
      <c r="G22" s="39"/>
      <c r="H22" s="40"/>
      <c r="I22" s="41" t="s">
        <v>160</v>
      </c>
      <c r="J22" s="36"/>
      <c r="K22" s="36"/>
      <c r="L22" s="36"/>
      <c r="M22" s="36"/>
      <c r="N22" s="36"/>
      <c r="O22" s="36"/>
      <c r="P22" s="36"/>
      <c r="Q22" s="36"/>
    </row>
    <row r="23" spans="2:19" ht="15" customHeight="1" x14ac:dyDescent="0.25">
      <c r="B23" s="36"/>
      <c r="C23" s="36"/>
      <c r="D23" s="37" t="s">
        <v>316</v>
      </c>
      <c r="E23" s="38" t="s">
        <v>321</v>
      </c>
      <c r="F23" s="28" t="s">
        <v>61</v>
      </c>
      <c r="G23" s="39"/>
      <c r="H23" s="40"/>
      <c r="I23" s="41" t="s">
        <v>160</v>
      </c>
      <c r="J23" s="36"/>
      <c r="K23" s="36"/>
      <c r="L23" s="36"/>
      <c r="M23" s="36"/>
      <c r="N23" s="36"/>
      <c r="O23" s="36"/>
      <c r="P23" s="36"/>
      <c r="Q23" s="36"/>
    </row>
    <row r="24" spans="2:19" ht="15" customHeight="1" x14ac:dyDescent="0.25">
      <c r="B24" s="36"/>
      <c r="C24" s="36"/>
      <c r="D24" s="37" t="s">
        <v>316</v>
      </c>
      <c r="E24" s="38" t="s">
        <v>322</v>
      </c>
      <c r="F24" s="28" t="s">
        <v>61</v>
      </c>
      <c r="G24" s="39"/>
      <c r="H24" s="40"/>
      <c r="I24" s="41" t="s">
        <v>160</v>
      </c>
      <c r="J24" s="36"/>
      <c r="K24" s="36"/>
      <c r="L24" s="36"/>
      <c r="M24" s="36"/>
      <c r="N24" s="36"/>
      <c r="O24" s="36"/>
      <c r="P24" s="36"/>
      <c r="Q24" s="36"/>
    </row>
    <row r="25" spans="2:19" ht="33.75" customHeight="1" x14ac:dyDescent="0.25">
      <c r="B25" s="43"/>
      <c r="C25" s="43"/>
      <c r="D25" s="44" t="s">
        <v>323</v>
      </c>
      <c r="E25" s="45" t="s">
        <v>324</v>
      </c>
      <c r="F25" s="46" t="s">
        <v>325</v>
      </c>
      <c r="G25" s="47" t="s">
        <v>99</v>
      </c>
      <c r="H25" s="48" t="s">
        <v>137</v>
      </c>
      <c r="I25" s="28" t="s">
        <v>61</v>
      </c>
      <c r="J25" s="49" t="s">
        <v>20</v>
      </c>
      <c r="K25" s="50"/>
      <c r="L25" s="50"/>
      <c r="M25" s="50"/>
      <c r="N25" s="51">
        <f>COUNTIF(F27:F30,"Pendiente")+COUNTIF(F27:F30,"En Progreso")+COUNTIF(F27:F30,"En Revisión")+COUNTIF(F27:F30,"Completado")+COUNTIF(F27:F30,"Bloqueado")</f>
        <v>4</v>
      </c>
      <c r="O25" s="51">
        <f>COUNTIF(F27:F30,"Completado")</f>
        <v>0</v>
      </c>
      <c r="P25" s="52">
        <f>IFERROR(O25/N25,0)</f>
        <v>0</v>
      </c>
      <c r="Q25" s="53" t="s">
        <v>255</v>
      </c>
      <c r="R25">
        <f>COUNTIF(F27:F30,"En Progreso")</f>
        <v>0</v>
      </c>
      <c r="S25">
        <f>COUNTIF(F27:F30,"Pendiente")</f>
        <v>4</v>
      </c>
    </row>
    <row r="26" spans="2:19" ht="15.75" customHeight="1" x14ac:dyDescent="0.25">
      <c r="B26" s="33"/>
      <c r="C26" s="33"/>
      <c r="D26" s="34" t="s">
        <v>45</v>
      </c>
      <c r="E26" s="35" t="s">
        <v>46</v>
      </c>
      <c r="F26" s="34" t="s">
        <v>31</v>
      </c>
      <c r="G26" s="34" t="s">
        <v>32</v>
      </c>
      <c r="H26" s="34" t="s">
        <v>34</v>
      </c>
      <c r="I26" s="34" t="s">
        <v>47</v>
      </c>
      <c r="J26" s="33"/>
      <c r="K26" s="33"/>
      <c r="L26" s="33"/>
      <c r="M26" s="33"/>
      <c r="N26" s="33"/>
      <c r="O26" s="33"/>
      <c r="P26" s="33"/>
      <c r="Q26" s="33"/>
    </row>
    <row r="27" spans="2:19" ht="15" customHeight="1" x14ac:dyDescent="0.25">
      <c r="B27" s="36"/>
      <c r="C27" s="36"/>
      <c r="D27" s="37" t="s">
        <v>323</v>
      </c>
      <c r="E27" s="38" t="s">
        <v>326</v>
      </c>
      <c r="F27" s="28" t="s">
        <v>61</v>
      </c>
      <c r="G27" s="39"/>
      <c r="H27" s="40"/>
      <c r="I27" s="41" t="s">
        <v>160</v>
      </c>
      <c r="J27" s="36"/>
      <c r="K27" s="36"/>
      <c r="L27" s="36"/>
      <c r="M27" s="36"/>
      <c r="N27" s="36"/>
      <c r="O27" s="36"/>
      <c r="P27" s="36"/>
      <c r="Q27" s="36"/>
    </row>
    <row r="28" spans="2:19" ht="15" customHeight="1" x14ac:dyDescent="0.25">
      <c r="B28" s="36"/>
      <c r="C28" s="36"/>
      <c r="D28" s="37" t="s">
        <v>323</v>
      </c>
      <c r="E28" s="38" t="s">
        <v>327</v>
      </c>
      <c r="F28" s="28" t="s">
        <v>61</v>
      </c>
      <c r="G28" s="39"/>
      <c r="H28" s="40"/>
      <c r="I28" s="41" t="s">
        <v>160</v>
      </c>
      <c r="J28" s="36"/>
      <c r="K28" s="36"/>
      <c r="L28" s="36"/>
      <c r="M28" s="36"/>
      <c r="N28" s="36"/>
      <c r="O28" s="36"/>
      <c r="P28" s="36"/>
      <c r="Q28" s="36"/>
    </row>
    <row r="29" spans="2:19" ht="15" customHeight="1" x14ac:dyDescent="0.25">
      <c r="B29" s="36"/>
      <c r="C29" s="36"/>
      <c r="D29" s="37" t="s">
        <v>323</v>
      </c>
      <c r="E29" s="38" t="s">
        <v>328</v>
      </c>
      <c r="F29" s="28" t="s">
        <v>61</v>
      </c>
      <c r="G29" s="39"/>
      <c r="H29" s="40"/>
      <c r="I29" s="41" t="s">
        <v>160</v>
      </c>
      <c r="J29" s="36"/>
      <c r="K29" s="36"/>
      <c r="L29" s="36"/>
      <c r="M29" s="36"/>
      <c r="N29" s="36"/>
      <c r="O29" s="36"/>
      <c r="P29" s="36"/>
      <c r="Q29" s="36"/>
    </row>
    <row r="30" spans="2:19" ht="15" customHeight="1" x14ac:dyDescent="0.25">
      <c r="B30" s="36"/>
      <c r="C30" s="36"/>
      <c r="D30" s="37" t="s">
        <v>323</v>
      </c>
      <c r="E30" s="38" t="s">
        <v>329</v>
      </c>
      <c r="F30" s="28" t="s">
        <v>61</v>
      </c>
      <c r="G30" s="39"/>
      <c r="H30" s="40"/>
      <c r="I30" s="41" t="s">
        <v>160</v>
      </c>
      <c r="J30" s="36"/>
      <c r="K30" s="36"/>
      <c r="L30" s="36"/>
      <c r="M30" s="36"/>
      <c r="N30" s="36"/>
      <c r="O30" s="36"/>
      <c r="P30" s="36"/>
      <c r="Q30" s="36"/>
    </row>
    <row r="31" spans="2:19" ht="33.75" customHeight="1" x14ac:dyDescent="0.25">
      <c r="B31" s="43"/>
      <c r="C31" s="43"/>
      <c r="D31" s="44" t="s">
        <v>330</v>
      </c>
      <c r="E31" s="45" t="s">
        <v>331</v>
      </c>
      <c r="F31" s="46" t="s">
        <v>332</v>
      </c>
      <c r="G31" s="47" t="s">
        <v>263</v>
      </c>
      <c r="H31" s="68" t="s">
        <v>42</v>
      </c>
      <c r="I31" s="28" t="s">
        <v>61</v>
      </c>
      <c r="J31" s="49" t="s">
        <v>20</v>
      </c>
      <c r="K31" s="50"/>
      <c r="L31" s="50"/>
      <c r="M31" s="50"/>
      <c r="N31" s="51">
        <f>COUNTIF(F33:F36,"Pendiente")+COUNTIF(F33:F36,"En Progreso")+COUNTIF(F33:F36,"En Revisión")+COUNTIF(F33:F36,"Completado")+COUNTIF(F33:F36,"Bloqueado")</f>
        <v>4</v>
      </c>
      <c r="O31" s="51">
        <f>COUNTIF(F33:F36,"Completado")</f>
        <v>0</v>
      </c>
      <c r="P31" s="52">
        <f>IFERROR(O31/N31,0)</f>
        <v>0</v>
      </c>
      <c r="Q31" s="53" t="s">
        <v>255</v>
      </c>
      <c r="R31">
        <f>COUNTIF(F33:F36,"En Progreso")</f>
        <v>0</v>
      </c>
      <c r="S31">
        <f>COUNTIF(F33:F36,"Pendiente")</f>
        <v>4</v>
      </c>
    </row>
    <row r="32" spans="2:19" ht="15.75" customHeight="1" x14ac:dyDescent="0.25">
      <c r="B32" s="33"/>
      <c r="C32" s="33"/>
      <c r="D32" s="34" t="s">
        <v>45</v>
      </c>
      <c r="E32" s="35" t="s">
        <v>46</v>
      </c>
      <c r="F32" s="34" t="s">
        <v>31</v>
      </c>
      <c r="G32" s="34" t="s">
        <v>32</v>
      </c>
      <c r="H32" s="34" t="s">
        <v>34</v>
      </c>
      <c r="I32" s="34" t="s">
        <v>47</v>
      </c>
      <c r="J32" s="33"/>
      <c r="K32" s="33"/>
      <c r="L32" s="33"/>
      <c r="M32" s="33"/>
      <c r="N32" s="33"/>
      <c r="O32" s="33"/>
      <c r="P32" s="33"/>
      <c r="Q32" s="33"/>
    </row>
    <row r="33" spans="2:19" ht="15" customHeight="1" x14ac:dyDescent="0.25">
      <c r="B33" s="36"/>
      <c r="C33" s="36"/>
      <c r="D33" s="37" t="s">
        <v>330</v>
      </c>
      <c r="E33" s="38" t="s">
        <v>333</v>
      </c>
      <c r="F33" s="28" t="s">
        <v>61</v>
      </c>
      <c r="G33" s="39"/>
      <c r="H33" s="40"/>
      <c r="I33" s="41" t="s">
        <v>160</v>
      </c>
      <c r="J33" s="36"/>
      <c r="K33" s="36"/>
      <c r="L33" s="36"/>
      <c r="M33" s="36"/>
      <c r="N33" s="36"/>
      <c r="O33" s="36"/>
      <c r="P33" s="36"/>
      <c r="Q33" s="36"/>
    </row>
    <row r="34" spans="2:19" ht="15" customHeight="1" x14ac:dyDescent="0.25">
      <c r="B34" s="36"/>
      <c r="C34" s="36"/>
      <c r="D34" s="37" t="s">
        <v>330</v>
      </c>
      <c r="E34" s="38" t="s">
        <v>334</v>
      </c>
      <c r="F34" s="28" t="s">
        <v>61</v>
      </c>
      <c r="G34" s="39"/>
      <c r="H34" s="40"/>
      <c r="I34" s="41" t="s">
        <v>160</v>
      </c>
      <c r="J34" s="36"/>
      <c r="K34" s="36"/>
      <c r="L34" s="36"/>
      <c r="M34" s="36"/>
      <c r="N34" s="36"/>
      <c r="O34" s="36"/>
      <c r="P34" s="36"/>
      <c r="Q34" s="36"/>
    </row>
    <row r="35" spans="2:19" ht="15" customHeight="1" x14ac:dyDescent="0.25">
      <c r="B35" s="36"/>
      <c r="C35" s="36"/>
      <c r="D35" s="37" t="s">
        <v>330</v>
      </c>
      <c r="E35" s="38" t="s">
        <v>335</v>
      </c>
      <c r="F35" s="28" t="s">
        <v>61</v>
      </c>
      <c r="G35" s="39"/>
      <c r="H35" s="40"/>
      <c r="I35" s="41" t="s">
        <v>160</v>
      </c>
      <c r="J35" s="36"/>
      <c r="K35" s="36"/>
      <c r="L35" s="36"/>
      <c r="M35" s="36"/>
      <c r="N35" s="36"/>
      <c r="O35" s="36"/>
      <c r="P35" s="36"/>
      <c r="Q35" s="36"/>
    </row>
    <row r="36" spans="2:19" ht="15" customHeight="1" x14ac:dyDescent="0.25">
      <c r="B36" s="36"/>
      <c r="C36" s="36"/>
      <c r="D36" s="37" t="s">
        <v>330</v>
      </c>
      <c r="E36" s="38" t="s">
        <v>336</v>
      </c>
      <c r="F36" s="28" t="s">
        <v>61</v>
      </c>
      <c r="G36" s="39"/>
      <c r="H36" s="40"/>
      <c r="I36" s="41" t="s">
        <v>160</v>
      </c>
      <c r="J36" s="36"/>
      <c r="K36" s="36"/>
      <c r="L36" s="36"/>
      <c r="M36" s="36"/>
      <c r="N36" s="36"/>
      <c r="O36" s="36"/>
      <c r="P36" s="36"/>
      <c r="Q36" s="36"/>
    </row>
    <row r="37" spans="2:19" ht="33.75" customHeight="1" x14ac:dyDescent="0.25">
      <c r="B37" s="43"/>
      <c r="C37" s="43"/>
      <c r="D37" s="44" t="s">
        <v>337</v>
      </c>
      <c r="E37" s="45" t="s">
        <v>338</v>
      </c>
      <c r="F37" s="46" t="s">
        <v>339</v>
      </c>
      <c r="G37" s="47" t="s">
        <v>340</v>
      </c>
      <c r="H37" s="48" t="s">
        <v>137</v>
      </c>
      <c r="I37" s="28" t="s">
        <v>61</v>
      </c>
      <c r="J37" s="49" t="s">
        <v>20</v>
      </c>
      <c r="K37" s="50"/>
      <c r="L37" s="50"/>
      <c r="M37" s="50"/>
      <c r="N37" s="51">
        <f>COUNTIF(F39:F41,"Pendiente")+COUNTIF(F39:F41,"En Progreso")+COUNTIF(F39:F41,"En Revisión")+COUNTIF(F39:F41,"Completado")+COUNTIF(F39:F41,"Bloqueado")</f>
        <v>3</v>
      </c>
      <c r="O37" s="51">
        <f>COUNTIF(F39:F41,"Completado")</f>
        <v>0</v>
      </c>
      <c r="P37" s="52">
        <f>IFERROR(O37/N37,0)</f>
        <v>0</v>
      </c>
      <c r="Q37" s="53" t="s">
        <v>255</v>
      </c>
      <c r="R37">
        <f>COUNTIF(F39:F41,"En Progreso")</f>
        <v>0</v>
      </c>
      <c r="S37">
        <f>COUNTIF(F39:F41,"Pendiente")</f>
        <v>3</v>
      </c>
    </row>
    <row r="38" spans="2:19" ht="15.75" customHeight="1" x14ac:dyDescent="0.25">
      <c r="B38" s="33"/>
      <c r="C38" s="33"/>
      <c r="D38" s="34" t="s">
        <v>45</v>
      </c>
      <c r="E38" s="35" t="s">
        <v>46</v>
      </c>
      <c r="F38" s="34" t="s">
        <v>31</v>
      </c>
      <c r="G38" s="34" t="s">
        <v>32</v>
      </c>
      <c r="H38" s="34" t="s">
        <v>34</v>
      </c>
      <c r="I38" s="34" t="s">
        <v>47</v>
      </c>
      <c r="J38" s="33"/>
      <c r="K38" s="33"/>
      <c r="L38" s="33"/>
      <c r="M38" s="33"/>
      <c r="N38" s="33"/>
      <c r="O38" s="33"/>
      <c r="P38" s="33"/>
      <c r="Q38" s="33"/>
    </row>
    <row r="39" spans="2:19" ht="15" customHeight="1" x14ac:dyDescent="0.25">
      <c r="B39" s="36"/>
      <c r="C39" s="36"/>
      <c r="D39" s="37" t="s">
        <v>337</v>
      </c>
      <c r="E39" s="38" t="s">
        <v>341</v>
      </c>
      <c r="F39" s="28" t="s">
        <v>61</v>
      </c>
      <c r="G39" s="39"/>
      <c r="H39" s="40"/>
      <c r="I39" s="41" t="s">
        <v>160</v>
      </c>
      <c r="J39" s="36"/>
      <c r="K39" s="36"/>
      <c r="L39" s="36"/>
      <c r="M39" s="36"/>
      <c r="N39" s="36"/>
      <c r="O39" s="36"/>
      <c r="P39" s="36"/>
      <c r="Q39" s="36"/>
    </row>
    <row r="40" spans="2:19" ht="15" customHeight="1" x14ac:dyDescent="0.25">
      <c r="B40" s="36"/>
      <c r="C40" s="36"/>
      <c r="D40" s="37" t="s">
        <v>337</v>
      </c>
      <c r="E40" s="38" t="s">
        <v>342</v>
      </c>
      <c r="F40" s="28" t="s">
        <v>61</v>
      </c>
      <c r="G40" s="39"/>
      <c r="H40" s="40"/>
      <c r="I40" s="41" t="s">
        <v>160</v>
      </c>
      <c r="J40" s="36"/>
      <c r="K40" s="36"/>
      <c r="L40" s="36"/>
      <c r="M40" s="36"/>
      <c r="N40" s="36"/>
      <c r="O40" s="36"/>
      <c r="P40" s="36"/>
      <c r="Q40" s="36"/>
    </row>
    <row r="41" spans="2:19" ht="15" customHeight="1" x14ac:dyDescent="0.25">
      <c r="B41" s="36"/>
      <c r="C41" s="36"/>
      <c r="D41" s="37" t="s">
        <v>337</v>
      </c>
      <c r="E41" s="38" t="s">
        <v>343</v>
      </c>
      <c r="F41" s="28" t="s">
        <v>61</v>
      </c>
      <c r="G41" s="39"/>
      <c r="H41" s="40"/>
      <c r="I41" s="41" t="s">
        <v>160</v>
      </c>
      <c r="J41" s="36"/>
      <c r="K41" s="36"/>
      <c r="L41" s="36"/>
      <c r="M41" s="36"/>
      <c r="N41" s="36"/>
      <c r="O41" s="36"/>
      <c r="P41" s="36"/>
      <c r="Q41" s="36"/>
    </row>
    <row r="42" spans="2:19" ht="33.75" customHeight="1" x14ac:dyDescent="0.25">
      <c r="B42" s="57"/>
      <c r="C42" s="57"/>
      <c r="D42" s="58" t="s">
        <v>344</v>
      </c>
      <c r="E42" s="59" t="s">
        <v>345</v>
      </c>
      <c r="F42" s="60" t="s">
        <v>346</v>
      </c>
      <c r="G42" s="61" t="s">
        <v>99</v>
      </c>
      <c r="H42" s="62" t="s">
        <v>137</v>
      </c>
      <c r="I42" s="28" t="s">
        <v>61</v>
      </c>
      <c r="J42" s="63" t="s">
        <v>21</v>
      </c>
      <c r="K42" s="64"/>
      <c r="L42" s="64"/>
      <c r="M42" s="64"/>
      <c r="N42" s="65">
        <f>COUNTIF(F44:F46,"Pendiente")+COUNTIF(F44:F46,"En Progreso")+COUNTIF(F44:F46,"En Revisión")+COUNTIF(F44:F46,"Completado")+COUNTIF(F44:F46,"Bloqueado")</f>
        <v>3</v>
      </c>
      <c r="O42" s="65">
        <f>COUNTIF(F44:F46,"Completado")</f>
        <v>0</v>
      </c>
      <c r="P42" s="66">
        <f>IFERROR(O42/N42,0)</f>
        <v>0</v>
      </c>
      <c r="Q42" s="67" t="s">
        <v>255</v>
      </c>
      <c r="R42">
        <f>COUNTIF(F44:F46,"En Progreso")</f>
        <v>0</v>
      </c>
      <c r="S42">
        <f>COUNTIF(F44:F46,"Pendiente")</f>
        <v>3</v>
      </c>
    </row>
    <row r="43" spans="2:19" ht="15.75" customHeight="1" x14ac:dyDescent="0.25">
      <c r="B43" s="33"/>
      <c r="C43" s="33"/>
      <c r="D43" s="34" t="s">
        <v>45</v>
      </c>
      <c r="E43" s="35" t="s">
        <v>46</v>
      </c>
      <c r="F43" s="34" t="s">
        <v>31</v>
      </c>
      <c r="G43" s="34" t="s">
        <v>32</v>
      </c>
      <c r="H43" s="34" t="s">
        <v>34</v>
      </c>
      <c r="I43" s="34" t="s">
        <v>47</v>
      </c>
      <c r="J43" s="33"/>
      <c r="K43" s="33"/>
      <c r="L43" s="33"/>
      <c r="M43" s="33"/>
      <c r="N43" s="33"/>
      <c r="O43" s="33"/>
      <c r="P43" s="33"/>
      <c r="Q43" s="33"/>
    </row>
    <row r="44" spans="2:19" ht="15" customHeight="1" x14ac:dyDescent="0.25">
      <c r="B44" s="36"/>
      <c r="C44" s="36"/>
      <c r="D44" s="37" t="s">
        <v>344</v>
      </c>
      <c r="E44" s="38" t="s">
        <v>347</v>
      </c>
      <c r="F44" s="28" t="s">
        <v>61</v>
      </c>
      <c r="G44" s="39"/>
      <c r="H44" s="40"/>
      <c r="I44" s="41" t="s">
        <v>160</v>
      </c>
      <c r="J44" s="36"/>
      <c r="K44" s="36"/>
      <c r="L44" s="36"/>
      <c r="M44" s="36"/>
      <c r="N44" s="36"/>
      <c r="O44" s="36"/>
      <c r="P44" s="36"/>
      <c r="Q44" s="36"/>
    </row>
    <row r="45" spans="2:19" ht="15" customHeight="1" x14ac:dyDescent="0.25">
      <c r="B45" s="36"/>
      <c r="C45" s="36"/>
      <c r="D45" s="37" t="s">
        <v>344</v>
      </c>
      <c r="E45" s="38" t="s">
        <v>348</v>
      </c>
      <c r="F45" s="28" t="s">
        <v>61</v>
      </c>
      <c r="G45" s="39"/>
      <c r="H45" s="40"/>
      <c r="I45" s="41" t="s">
        <v>160</v>
      </c>
      <c r="J45" s="36"/>
      <c r="K45" s="36"/>
      <c r="L45" s="36"/>
      <c r="M45" s="36"/>
      <c r="N45" s="36"/>
      <c r="O45" s="36"/>
      <c r="P45" s="36"/>
      <c r="Q45" s="36"/>
    </row>
    <row r="46" spans="2:19" ht="15" customHeight="1" x14ac:dyDescent="0.25">
      <c r="B46" s="36"/>
      <c r="C46" s="36"/>
      <c r="D46" s="37" t="s">
        <v>344</v>
      </c>
      <c r="E46" s="38" t="s">
        <v>289</v>
      </c>
      <c r="F46" s="28" t="s">
        <v>61</v>
      </c>
      <c r="G46" s="39"/>
      <c r="H46" s="40"/>
      <c r="I46" s="41" t="s">
        <v>160</v>
      </c>
      <c r="J46" s="36"/>
      <c r="K46" s="36"/>
      <c r="L46" s="36"/>
      <c r="M46" s="36"/>
      <c r="N46" s="36"/>
      <c r="O46" s="36"/>
      <c r="P46" s="36"/>
      <c r="Q46" s="36"/>
    </row>
    <row r="47" spans="2:19" ht="33.75" customHeight="1" x14ac:dyDescent="0.25">
      <c r="B47" s="57"/>
      <c r="C47" s="57"/>
      <c r="D47" s="58" t="s">
        <v>349</v>
      </c>
      <c r="E47" s="59" t="s">
        <v>350</v>
      </c>
      <c r="F47" s="60" t="s">
        <v>351</v>
      </c>
      <c r="G47" s="61" t="s">
        <v>352</v>
      </c>
      <c r="H47" s="62" t="s">
        <v>137</v>
      </c>
      <c r="I47" s="28" t="s">
        <v>61</v>
      </c>
      <c r="J47" s="63" t="s">
        <v>21</v>
      </c>
      <c r="K47" s="64"/>
      <c r="L47" s="64"/>
      <c r="M47" s="64"/>
      <c r="N47" s="65">
        <f>COUNTIF(F49:F52,"Pendiente")+COUNTIF(F49:F52,"En Progreso")+COUNTIF(F49:F52,"En Revisión")+COUNTIF(F49:F52,"Completado")+COUNTIF(F49:F52,"Bloqueado")</f>
        <v>4</v>
      </c>
      <c r="O47" s="65">
        <f>COUNTIF(F49:F52,"Completado")</f>
        <v>0</v>
      </c>
      <c r="P47" s="66">
        <f>IFERROR(O47/N47,0)</f>
        <v>0</v>
      </c>
      <c r="Q47" s="67" t="s">
        <v>255</v>
      </c>
      <c r="R47">
        <f>COUNTIF(F49:F52,"En Progreso")</f>
        <v>0</v>
      </c>
      <c r="S47">
        <f>COUNTIF(F49:F52,"Pendiente")</f>
        <v>4</v>
      </c>
    </row>
    <row r="48" spans="2:19" ht="15.75" customHeight="1" x14ac:dyDescent="0.25">
      <c r="B48" s="33"/>
      <c r="C48" s="33"/>
      <c r="D48" s="34" t="s">
        <v>45</v>
      </c>
      <c r="E48" s="35" t="s">
        <v>46</v>
      </c>
      <c r="F48" s="34" t="s">
        <v>31</v>
      </c>
      <c r="G48" s="34" t="s">
        <v>32</v>
      </c>
      <c r="H48" s="34" t="s">
        <v>34</v>
      </c>
      <c r="I48" s="34" t="s">
        <v>47</v>
      </c>
      <c r="J48" s="33"/>
      <c r="K48" s="33"/>
      <c r="L48" s="33"/>
      <c r="M48" s="33"/>
      <c r="N48" s="33"/>
      <c r="O48" s="33"/>
      <c r="P48" s="33"/>
      <c r="Q48" s="33"/>
    </row>
    <row r="49" spans="2:17" ht="15" customHeight="1" x14ac:dyDescent="0.25">
      <c r="B49" s="36"/>
      <c r="C49" s="36"/>
      <c r="D49" s="37" t="s">
        <v>349</v>
      </c>
      <c r="E49" s="38" t="s">
        <v>353</v>
      </c>
      <c r="F49" s="28" t="s">
        <v>61</v>
      </c>
      <c r="G49" s="39"/>
      <c r="H49" s="40"/>
      <c r="I49" s="41" t="s">
        <v>160</v>
      </c>
      <c r="J49" s="36"/>
      <c r="K49" s="36"/>
      <c r="L49" s="36"/>
      <c r="M49" s="36"/>
      <c r="N49" s="36"/>
      <c r="O49" s="36"/>
      <c r="P49" s="36"/>
      <c r="Q49" s="36"/>
    </row>
    <row r="50" spans="2:17" ht="15" customHeight="1" x14ac:dyDescent="0.25">
      <c r="B50" s="36"/>
      <c r="C50" s="36"/>
      <c r="D50" s="37" t="s">
        <v>349</v>
      </c>
      <c r="E50" s="38" t="s">
        <v>354</v>
      </c>
      <c r="F50" s="28" t="s">
        <v>61</v>
      </c>
      <c r="G50" s="39"/>
      <c r="H50" s="40"/>
      <c r="I50" s="41" t="s">
        <v>160</v>
      </c>
      <c r="J50" s="36"/>
      <c r="K50" s="36"/>
      <c r="L50" s="36"/>
      <c r="M50" s="36"/>
      <c r="N50" s="36"/>
      <c r="O50" s="36"/>
      <c r="P50" s="36"/>
      <c r="Q50" s="36"/>
    </row>
    <row r="51" spans="2:17" ht="15" customHeight="1" x14ac:dyDescent="0.25">
      <c r="B51" s="36"/>
      <c r="C51" s="36"/>
      <c r="D51" s="37" t="s">
        <v>349</v>
      </c>
      <c r="E51" s="38" t="s">
        <v>355</v>
      </c>
      <c r="F51" s="28" t="s">
        <v>61</v>
      </c>
      <c r="G51" s="39"/>
      <c r="H51" s="40"/>
      <c r="I51" s="41" t="s">
        <v>160</v>
      </c>
      <c r="J51" s="36"/>
      <c r="K51" s="36"/>
      <c r="L51" s="36"/>
      <c r="M51" s="36"/>
      <c r="N51" s="36"/>
      <c r="O51" s="36"/>
      <c r="P51" s="36"/>
      <c r="Q51" s="36"/>
    </row>
    <row r="52" spans="2:17" ht="15" customHeight="1" x14ac:dyDescent="0.25">
      <c r="B52" s="36"/>
      <c r="C52" s="36"/>
      <c r="D52" s="37" t="s">
        <v>349</v>
      </c>
      <c r="E52" s="38" t="s">
        <v>356</v>
      </c>
      <c r="F52" s="28" t="s">
        <v>61</v>
      </c>
      <c r="G52" s="39"/>
      <c r="H52" s="40"/>
      <c r="I52" s="41" t="s">
        <v>160</v>
      </c>
      <c r="J52" s="36"/>
      <c r="K52" s="36"/>
      <c r="L52" s="36"/>
      <c r="M52" s="36"/>
      <c r="N52" s="36"/>
      <c r="O52" s="36"/>
      <c r="P52" s="36"/>
      <c r="Q52" s="36"/>
    </row>
    <row r="54" spans="2:17" ht="21.75" customHeight="1" x14ac:dyDescent="0.25">
      <c r="B54" s="3" t="s">
        <v>173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54">
        <f>COUNTIF(F7:F53,"Pendiente")+COUNTIF(F7:F53,"En Progreso")+COUNTIF(F7:F53,"En Revisión")+COUNTIF(F7:F53,"Completado")+COUNTIF(F7:F53,"Bloqueado")</f>
        <v>30</v>
      </c>
      <c r="O54" s="54">
        <f>COUNTIF(F7:F53,"Completado")</f>
        <v>0</v>
      </c>
      <c r="P54" s="55">
        <f>IFERROR(O54/N54,0)</f>
        <v>0</v>
      </c>
      <c r="Q54" s="56"/>
    </row>
  </sheetData>
  <mergeCells count="4">
    <mergeCell ref="A2:Q2"/>
    <mergeCell ref="A3:Q3"/>
    <mergeCell ref="A4:Q4"/>
    <mergeCell ref="B54:M54"/>
  </mergeCells>
  <dataValidations count="2">
    <dataValidation type="list" allowBlank="1" sqref="I7 F9:F12 I13 F15:F18 I19 F21:F24 I25 F27:F30 I31 F33:F36 I37 F39:F41 I42 F44:F46 I47 F49:F52" xr:uid="{00000000-0002-0000-0400-000000000000}">
      <formula1>"Pendiente,En Progreso,En Revisión,Completado,Bloqueado"</formula1>
      <formula2>0</formula2>
    </dataValidation>
    <dataValidation type="list" allowBlank="1" sqref="J7 J13 J19 J25 J31 J37 J42 J47" xr:uid="{00000000-0002-0000-0400-000001000000}">
      <formula1>"Demo,Fase 2,Fase 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2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7109375" defaultRowHeight="15" x14ac:dyDescent="0.25"/>
  <cols>
    <col min="1" max="1" width="2" customWidth="1"/>
    <col min="2" max="2" width="4" customWidth="1"/>
    <col min="3" max="3" width="3" customWidth="1"/>
    <col min="4" max="4" width="12" customWidth="1"/>
    <col min="5" max="5" width="30" customWidth="1"/>
    <col min="6" max="6" width="34" customWidth="1"/>
    <col min="7" max="7" width="19" customWidth="1"/>
    <col min="8" max="8" width="11" customWidth="1"/>
    <col min="9" max="9" width="15" customWidth="1"/>
    <col min="10" max="10" width="9" customWidth="1"/>
    <col min="11" max="11" width="15" customWidth="1"/>
    <col min="12" max="13" width="11" customWidth="1"/>
    <col min="14" max="14" width="9" customWidth="1"/>
    <col min="15" max="15" width="10" customWidth="1"/>
    <col min="16" max="16" width="9" customWidth="1"/>
    <col min="17" max="17" width="40" customWidth="1"/>
    <col min="18" max="19" width="13" hidden="1" customWidth="1"/>
  </cols>
  <sheetData>
    <row r="1" spans="1:19" ht="7.5" customHeight="1" x14ac:dyDescent="0.25"/>
    <row r="2" spans="1:19" ht="39.75" customHeight="1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9" ht="19.5" customHeight="1" x14ac:dyDescent="0.25">
      <c r="A3" s="5" t="s">
        <v>357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9" ht="42" customHeight="1" x14ac:dyDescent="0.25">
      <c r="A4" s="4" t="s">
        <v>358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9" ht="6" customHeight="1" x14ac:dyDescent="0.25"/>
    <row r="6" spans="1:19" ht="25.5" customHeight="1" x14ac:dyDescent="0.25">
      <c r="A6" s="11"/>
      <c r="B6" s="11" t="s">
        <v>25</v>
      </c>
      <c r="C6" s="11"/>
      <c r="D6" s="11" t="s">
        <v>26</v>
      </c>
      <c r="E6" s="11" t="s">
        <v>27</v>
      </c>
      <c r="F6" s="11" t="s">
        <v>28</v>
      </c>
      <c r="G6" s="11" t="s">
        <v>29</v>
      </c>
      <c r="H6" s="11" t="s">
        <v>30</v>
      </c>
      <c r="I6" s="11" t="s">
        <v>31</v>
      </c>
      <c r="J6" s="11" t="s">
        <v>18</v>
      </c>
      <c r="K6" s="11" t="s">
        <v>32</v>
      </c>
      <c r="L6" s="11" t="s">
        <v>33</v>
      </c>
      <c r="M6" s="11" t="s">
        <v>34</v>
      </c>
      <c r="N6" s="11" t="s">
        <v>35</v>
      </c>
      <c r="O6" s="11" t="s">
        <v>36</v>
      </c>
      <c r="P6" s="11" t="s">
        <v>9</v>
      </c>
      <c r="Q6" s="11" t="s">
        <v>37</v>
      </c>
    </row>
    <row r="7" spans="1:19" ht="33.75" customHeight="1" x14ac:dyDescent="0.25">
      <c r="B7" s="43"/>
      <c r="C7" s="43"/>
      <c r="D7" s="44" t="s">
        <v>359</v>
      </c>
      <c r="E7" s="45" t="s">
        <v>360</v>
      </c>
      <c r="F7" s="46" t="s">
        <v>361</v>
      </c>
      <c r="G7" s="47" t="s">
        <v>362</v>
      </c>
      <c r="H7" s="68" t="s">
        <v>42</v>
      </c>
      <c r="I7" s="28" t="s">
        <v>61</v>
      </c>
      <c r="J7" s="49" t="s">
        <v>20</v>
      </c>
      <c r="K7" s="50"/>
      <c r="L7" s="50"/>
      <c r="M7" s="50"/>
      <c r="N7" s="51">
        <f>COUNTIF(F9:F12,"Pendiente")+COUNTIF(F9:F12,"En Progreso")+COUNTIF(F9:F12,"En Revisión")+COUNTIF(F9:F12,"Completado")+COUNTIF(F9:F12,"Bloqueado")</f>
        <v>4</v>
      </c>
      <c r="O7" s="51">
        <f>COUNTIF(F9:F12,"Completado")</f>
        <v>0</v>
      </c>
      <c r="P7" s="52">
        <f>IFERROR(O7/N7,0)</f>
        <v>0</v>
      </c>
      <c r="Q7" s="53" t="s">
        <v>255</v>
      </c>
      <c r="R7">
        <f>COUNTIF(F9:F12,"En Progreso")</f>
        <v>0</v>
      </c>
      <c r="S7">
        <f>COUNTIF(F9:F12,"Pendiente")</f>
        <v>4</v>
      </c>
    </row>
    <row r="8" spans="1:19" ht="15.75" customHeight="1" x14ac:dyDescent="0.25">
      <c r="B8" s="33"/>
      <c r="C8" s="33"/>
      <c r="D8" s="34" t="s">
        <v>45</v>
      </c>
      <c r="E8" s="35" t="s">
        <v>46</v>
      </c>
      <c r="F8" s="34" t="s">
        <v>31</v>
      </c>
      <c r="G8" s="34" t="s">
        <v>32</v>
      </c>
      <c r="H8" s="34" t="s">
        <v>34</v>
      </c>
      <c r="I8" s="34" t="s">
        <v>47</v>
      </c>
      <c r="J8" s="33"/>
      <c r="K8" s="33"/>
      <c r="L8" s="33"/>
      <c r="M8" s="33"/>
      <c r="N8" s="33"/>
      <c r="O8" s="33"/>
      <c r="P8" s="33"/>
      <c r="Q8" s="33"/>
    </row>
    <row r="9" spans="1:19" ht="15" customHeight="1" x14ac:dyDescent="0.25">
      <c r="B9" s="36"/>
      <c r="C9" s="36"/>
      <c r="D9" s="37" t="s">
        <v>359</v>
      </c>
      <c r="E9" s="38" t="s">
        <v>363</v>
      </c>
      <c r="F9" s="28" t="s">
        <v>61</v>
      </c>
      <c r="G9" s="39"/>
      <c r="H9" s="40"/>
      <c r="I9" s="41" t="s">
        <v>160</v>
      </c>
      <c r="J9" s="36"/>
      <c r="K9" s="36"/>
      <c r="L9" s="36"/>
      <c r="M9" s="36"/>
      <c r="N9" s="36"/>
      <c r="O9" s="36"/>
      <c r="P9" s="36"/>
      <c r="Q9" s="36"/>
    </row>
    <row r="10" spans="1:19" ht="15" customHeight="1" x14ac:dyDescent="0.25">
      <c r="B10" s="36"/>
      <c r="C10" s="36"/>
      <c r="D10" s="37" t="s">
        <v>359</v>
      </c>
      <c r="E10" s="38" t="s">
        <v>364</v>
      </c>
      <c r="F10" s="28" t="s">
        <v>61</v>
      </c>
      <c r="G10" s="39"/>
      <c r="H10" s="40"/>
      <c r="I10" s="41" t="s">
        <v>160</v>
      </c>
      <c r="J10" s="36"/>
      <c r="K10" s="36"/>
      <c r="L10" s="36"/>
      <c r="M10" s="36"/>
      <c r="N10" s="36"/>
      <c r="O10" s="36"/>
      <c r="P10" s="36"/>
      <c r="Q10" s="36"/>
    </row>
    <row r="11" spans="1:19" ht="15" customHeight="1" x14ac:dyDescent="0.25">
      <c r="B11" s="36"/>
      <c r="C11" s="36"/>
      <c r="D11" s="37" t="s">
        <v>359</v>
      </c>
      <c r="E11" s="38" t="s">
        <v>365</v>
      </c>
      <c r="F11" s="28" t="s">
        <v>61</v>
      </c>
      <c r="G11" s="39"/>
      <c r="H11" s="40"/>
      <c r="I11" s="41" t="s">
        <v>160</v>
      </c>
      <c r="J11" s="36"/>
      <c r="K11" s="36"/>
      <c r="L11" s="36"/>
      <c r="M11" s="36"/>
      <c r="N11" s="36"/>
      <c r="O11" s="36"/>
      <c r="P11" s="36"/>
      <c r="Q11" s="36"/>
    </row>
    <row r="12" spans="1:19" ht="15" customHeight="1" x14ac:dyDescent="0.25">
      <c r="B12" s="36"/>
      <c r="C12" s="36"/>
      <c r="D12" s="37" t="s">
        <v>359</v>
      </c>
      <c r="E12" s="38" t="s">
        <v>366</v>
      </c>
      <c r="F12" s="28" t="s">
        <v>61</v>
      </c>
      <c r="G12" s="39"/>
      <c r="H12" s="40"/>
      <c r="I12" s="41" t="s">
        <v>160</v>
      </c>
      <c r="J12" s="36"/>
      <c r="K12" s="36"/>
      <c r="L12" s="36"/>
      <c r="M12" s="36"/>
      <c r="N12" s="36"/>
      <c r="O12" s="36"/>
      <c r="P12" s="36"/>
      <c r="Q12" s="36"/>
    </row>
    <row r="13" spans="1:19" ht="33.75" customHeight="1" x14ac:dyDescent="0.25">
      <c r="B13" s="57"/>
      <c r="C13" s="57"/>
      <c r="D13" s="58" t="s">
        <v>367</v>
      </c>
      <c r="E13" s="59" t="s">
        <v>368</v>
      </c>
      <c r="F13" s="60" t="s">
        <v>369</v>
      </c>
      <c r="G13" s="61" t="s">
        <v>244</v>
      </c>
      <c r="H13" s="69" t="s">
        <v>42</v>
      </c>
      <c r="I13" s="28" t="s">
        <v>61</v>
      </c>
      <c r="J13" s="63" t="s">
        <v>21</v>
      </c>
      <c r="K13" s="64"/>
      <c r="L13" s="64"/>
      <c r="M13" s="64"/>
      <c r="N13" s="65">
        <f>COUNTIF(F15:F18,"Pendiente")+COUNTIF(F15:F18,"En Progreso")+COUNTIF(F15:F18,"En Revisión")+COUNTIF(F15:F18,"Completado")+COUNTIF(F15:F18,"Bloqueado")</f>
        <v>4</v>
      </c>
      <c r="O13" s="65">
        <f>COUNTIF(F15:F18,"Completado")</f>
        <v>0</v>
      </c>
      <c r="P13" s="66">
        <f>IFERROR(O13/N13,0)</f>
        <v>0</v>
      </c>
      <c r="Q13" s="67" t="s">
        <v>255</v>
      </c>
      <c r="R13">
        <f>COUNTIF(F15:F18,"En Progreso")</f>
        <v>0</v>
      </c>
      <c r="S13">
        <f>COUNTIF(F15:F18,"Pendiente")</f>
        <v>4</v>
      </c>
    </row>
    <row r="14" spans="1:19" ht="15.75" customHeight="1" x14ac:dyDescent="0.25">
      <c r="B14" s="33"/>
      <c r="C14" s="33"/>
      <c r="D14" s="34" t="s">
        <v>45</v>
      </c>
      <c r="E14" s="35" t="s">
        <v>46</v>
      </c>
      <c r="F14" s="34" t="s">
        <v>31</v>
      </c>
      <c r="G14" s="34" t="s">
        <v>32</v>
      </c>
      <c r="H14" s="34" t="s">
        <v>34</v>
      </c>
      <c r="I14" s="34" t="s">
        <v>47</v>
      </c>
      <c r="J14" s="33"/>
      <c r="K14" s="33"/>
      <c r="L14" s="33"/>
      <c r="M14" s="33"/>
      <c r="N14" s="33"/>
      <c r="O14" s="33"/>
      <c r="P14" s="33"/>
      <c r="Q14" s="33"/>
    </row>
    <row r="15" spans="1:19" ht="15" customHeight="1" x14ac:dyDescent="0.25">
      <c r="B15" s="36"/>
      <c r="C15" s="36"/>
      <c r="D15" s="37" t="s">
        <v>367</v>
      </c>
      <c r="E15" s="38" t="s">
        <v>370</v>
      </c>
      <c r="F15" s="28" t="s">
        <v>61</v>
      </c>
      <c r="G15" s="39"/>
      <c r="H15" s="40"/>
      <c r="I15" s="41" t="s">
        <v>160</v>
      </c>
      <c r="J15" s="36"/>
      <c r="K15" s="36"/>
      <c r="L15" s="36"/>
      <c r="M15" s="36"/>
      <c r="N15" s="36"/>
      <c r="O15" s="36"/>
      <c r="P15" s="36"/>
      <c r="Q15" s="36"/>
    </row>
    <row r="16" spans="1:19" ht="15" customHeight="1" x14ac:dyDescent="0.25">
      <c r="B16" s="36"/>
      <c r="C16" s="36"/>
      <c r="D16" s="37" t="s">
        <v>367</v>
      </c>
      <c r="E16" s="38" t="s">
        <v>371</v>
      </c>
      <c r="F16" s="28" t="s">
        <v>61</v>
      </c>
      <c r="G16" s="39"/>
      <c r="H16" s="40"/>
      <c r="I16" s="41" t="s">
        <v>160</v>
      </c>
      <c r="J16" s="36"/>
      <c r="K16" s="36"/>
      <c r="L16" s="36"/>
      <c r="M16" s="36"/>
      <c r="N16" s="36"/>
      <c r="O16" s="36"/>
      <c r="P16" s="36"/>
      <c r="Q16" s="36"/>
    </row>
    <row r="17" spans="2:19" ht="15" customHeight="1" x14ac:dyDescent="0.25">
      <c r="B17" s="36"/>
      <c r="C17" s="36"/>
      <c r="D17" s="37" t="s">
        <v>367</v>
      </c>
      <c r="E17" s="38" t="s">
        <v>372</v>
      </c>
      <c r="F17" s="28" t="s">
        <v>61</v>
      </c>
      <c r="G17" s="39"/>
      <c r="H17" s="40"/>
      <c r="I17" s="41" t="s">
        <v>160</v>
      </c>
      <c r="J17" s="36"/>
      <c r="K17" s="36"/>
      <c r="L17" s="36"/>
      <c r="M17" s="36"/>
      <c r="N17" s="36"/>
      <c r="O17" s="36"/>
      <c r="P17" s="36"/>
      <c r="Q17" s="36"/>
    </row>
    <row r="18" spans="2:19" ht="15" customHeight="1" x14ac:dyDescent="0.25">
      <c r="B18" s="36"/>
      <c r="C18" s="36"/>
      <c r="D18" s="37" t="s">
        <v>367</v>
      </c>
      <c r="E18" s="38" t="s">
        <v>373</v>
      </c>
      <c r="F18" s="28" t="s">
        <v>61</v>
      </c>
      <c r="G18" s="39"/>
      <c r="H18" s="40"/>
      <c r="I18" s="41" t="s">
        <v>160</v>
      </c>
      <c r="J18" s="36"/>
      <c r="K18" s="36"/>
      <c r="L18" s="36"/>
      <c r="M18" s="36"/>
      <c r="N18" s="36"/>
      <c r="O18" s="36"/>
      <c r="P18" s="36"/>
      <c r="Q18" s="36"/>
    </row>
    <row r="19" spans="2:19" ht="33.75" customHeight="1" x14ac:dyDescent="0.25">
      <c r="B19" s="43"/>
      <c r="C19" s="43"/>
      <c r="D19" s="44" t="s">
        <v>374</v>
      </c>
      <c r="E19" s="45" t="s">
        <v>375</v>
      </c>
      <c r="F19" s="46" t="s">
        <v>376</v>
      </c>
      <c r="G19" s="47" t="s">
        <v>254</v>
      </c>
      <c r="H19" s="68" t="s">
        <v>42</v>
      </c>
      <c r="I19" s="28" t="s">
        <v>61</v>
      </c>
      <c r="J19" s="49" t="s">
        <v>20</v>
      </c>
      <c r="K19" s="50"/>
      <c r="L19" s="50"/>
      <c r="M19" s="50"/>
      <c r="N19" s="51">
        <f>COUNTIF(F21:F24,"Pendiente")+COUNTIF(F21:F24,"En Progreso")+COUNTIF(F21:F24,"En Revisión")+COUNTIF(F21:F24,"Completado")+COUNTIF(F21:F24,"Bloqueado")</f>
        <v>4</v>
      </c>
      <c r="O19" s="51">
        <f>COUNTIF(F21:F24,"Completado")</f>
        <v>0</v>
      </c>
      <c r="P19" s="52">
        <f>IFERROR(O19/N19,0)</f>
        <v>0</v>
      </c>
      <c r="Q19" s="53" t="s">
        <v>255</v>
      </c>
      <c r="R19">
        <f>COUNTIF(F21:F24,"En Progreso")</f>
        <v>0</v>
      </c>
      <c r="S19">
        <f>COUNTIF(F21:F24,"Pendiente")</f>
        <v>4</v>
      </c>
    </row>
    <row r="20" spans="2:19" ht="15.75" customHeight="1" x14ac:dyDescent="0.25">
      <c r="B20" s="33"/>
      <c r="C20" s="33"/>
      <c r="D20" s="34" t="s">
        <v>45</v>
      </c>
      <c r="E20" s="35" t="s">
        <v>46</v>
      </c>
      <c r="F20" s="34" t="s">
        <v>31</v>
      </c>
      <c r="G20" s="34" t="s">
        <v>32</v>
      </c>
      <c r="H20" s="34" t="s">
        <v>34</v>
      </c>
      <c r="I20" s="34" t="s">
        <v>47</v>
      </c>
      <c r="J20" s="33"/>
      <c r="K20" s="33"/>
      <c r="L20" s="33"/>
      <c r="M20" s="33"/>
      <c r="N20" s="33"/>
      <c r="O20" s="33"/>
      <c r="P20" s="33"/>
      <c r="Q20" s="33"/>
    </row>
    <row r="21" spans="2:19" ht="15" customHeight="1" x14ac:dyDescent="0.25">
      <c r="B21" s="36"/>
      <c r="C21" s="36"/>
      <c r="D21" s="37" t="s">
        <v>374</v>
      </c>
      <c r="E21" s="38" t="s">
        <v>377</v>
      </c>
      <c r="F21" s="28" t="s">
        <v>61</v>
      </c>
      <c r="G21" s="39"/>
      <c r="H21" s="40"/>
      <c r="I21" s="41" t="s">
        <v>160</v>
      </c>
      <c r="J21" s="36"/>
      <c r="K21" s="36"/>
      <c r="L21" s="36"/>
      <c r="M21" s="36"/>
      <c r="N21" s="36"/>
      <c r="O21" s="36"/>
      <c r="P21" s="36"/>
      <c r="Q21" s="36"/>
    </row>
    <row r="22" spans="2:19" ht="15" customHeight="1" x14ac:dyDescent="0.25">
      <c r="B22" s="36"/>
      <c r="C22" s="36"/>
      <c r="D22" s="37" t="s">
        <v>374</v>
      </c>
      <c r="E22" s="38" t="s">
        <v>378</v>
      </c>
      <c r="F22" s="28" t="s">
        <v>61</v>
      </c>
      <c r="G22" s="39"/>
      <c r="H22" s="40"/>
      <c r="I22" s="41" t="s">
        <v>160</v>
      </c>
      <c r="J22" s="36"/>
      <c r="K22" s="36"/>
      <c r="L22" s="36"/>
      <c r="M22" s="36"/>
      <c r="N22" s="36"/>
      <c r="O22" s="36"/>
      <c r="P22" s="36"/>
      <c r="Q22" s="36"/>
    </row>
    <row r="23" spans="2:19" ht="15" customHeight="1" x14ac:dyDescent="0.25">
      <c r="B23" s="36"/>
      <c r="C23" s="36"/>
      <c r="D23" s="37" t="s">
        <v>374</v>
      </c>
      <c r="E23" s="38" t="s">
        <v>379</v>
      </c>
      <c r="F23" s="28" t="s">
        <v>61</v>
      </c>
      <c r="G23" s="39"/>
      <c r="H23" s="40"/>
      <c r="I23" s="41" t="s">
        <v>160</v>
      </c>
      <c r="J23" s="36"/>
      <c r="K23" s="36"/>
      <c r="L23" s="36"/>
      <c r="M23" s="36"/>
      <c r="N23" s="36"/>
      <c r="O23" s="36"/>
      <c r="P23" s="36"/>
      <c r="Q23" s="36"/>
    </row>
    <row r="24" spans="2:19" ht="15" customHeight="1" x14ac:dyDescent="0.25">
      <c r="B24" s="36"/>
      <c r="C24" s="36"/>
      <c r="D24" s="37" t="s">
        <v>374</v>
      </c>
      <c r="E24" s="38" t="s">
        <v>380</v>
      </c>
      <c r="F24" s="28" t="s">
        <v>61</v>
      </c>
      <c r="G24" s="39"/>
      <c r="H24" s="40"/>
      <c r="I24" s="41" t="s">
        <v>160</v>
      </c>
      <c r="J24" s="36"/>
      <c r="K24" s="36"/>
      <c r="L24" s="36"/>
      <c r="M24" s="36"/>
      <c r="N24" s="36"/>
      <c r="O24" s="36"/>
      <c r="P24" s="36"/>
      <c r="Q24" s="36"/>
    </row>
    <row r="25" spans="2:19" ht="33.75" customHeight="1" x14ac:dyDescent="0.25">
      <c r="B25" s="43"/>
      <c r="C25" s="43"/>
      <c r="D25" s="44" t="s">
        <v>381</v>
      </c>
      <c r="E25" s="45" t="s">
        <v>382</v>
      </c>
      <c r="F25" s="46" t="s">
        <v>383</v>
      </c>
      <c r="G25" s="47" t="s">
        <v>254</v>
      </c>
      <c r="H25" s="68" t="s">
        <v>42</v>
      </c>
      <c r="I25" s="28" t="s">
        <v>61</v>
      </c>
      <c r="J25" s="49" t="s">
        <v>20</v>
      </c>
      <c r="K25" s="50"/>
      <c r="L25" s="50"/>
      <c r="M25" s="50"/>
      <c r="N25" s="51">
        <f>COUNTIF(F27:F29,"Pendiente")+COUNTIF(F27:F29,"En Progreso")+COUNTIF(F27:F29,"En Revisión")+COUNTIF(F27:F29,"Completado")+COUNTIF(F27:F29,"Bloqueado")</f>
        <v>3</v>
      </c>
      <c r="O25" s="51">
        <f>COUNTIF(F27:F29,"Completado")</f>
        <v>0</v>
      </c>
      <c r="P25" s="52">
        <f>IFERROR(O25/N25,0)</f>
        <v>0</v>
      </c>
      <c r="Q25" s="53" t="s">
        <v>255</v>
      </c>
      <c r="R25">
        <f>COUNTIF(F27:F29,"En Progreso")</f>
        <v>0</v>
      </c>
      <c r="S25">
        <f>COUNTIF(F27:F29,"Pendiente")</f>
        <v>3</v>
      </c>
    </row>
    <row r="26" spans="2:19" ht="15.75" customHeight="1" x14ac:dyDescent="0.25">
      <c r="B26" s="33"/>
      <c r="C26" s="33"/>
      <c r="D26" s="34" t="s">
        <v>45</v>
      </c>
      <c r="E26" s="35" t="s">
        <v>46</v>
      </c>
      <c r="F26" s="34" t="s">
        <v>31</v>
      </c>
      <c r="G26" s="34" t="s">
        <v>32</v>
      </c>
      <c r="H26" s="34" t="s">
        <v>34</v>
      </c>
      <c r="I26" s="34" t="s">
        <v>47</v>
      </c>
      <c r="J26" s="33"/>
      <c r="K26" s="33"/>
      <c r="L26" s="33"/>
      <c r="M26" s="33"/>
      <c r="N26" s="33"/>
      <c r="O26" s="33"/>
      <c r="P26" s="33"/>
      <c r="Q26" s="33"/>
    </row>
    <row r="27" spans="2:19" ht="15" customHeight="1" x14ac:dyDescent="0.25">
      <c r="B27" s="36"/>
      <c r="C27" s="36"/>
      <c r="D27" s="37" t="s">
        <v>381</v>
      </c>
      <c r="E27" s="38" t="s">
        <v>384</v>
      </c>
      <c r="F27" s="28" t="s">
        <v>61</v>
      </c>
      <c r="G27" s="39"/>
      <c r="H27" s="40"/>
      <c r="I27" s="41" t="s">
        <v>160</v>
      </c>
      <c r="J27" s="36"/>
      <c r="K27" s="36"/>
      <c r="L27" s="36"/>
      <c r="M27" s="36"/>
      <c r="N27" s="36"/>
      <c r="O27" s="36"/>
      <c r="P27" s="36"/>
      <c r="Q27" s="36"/>
    </row>
    <row r="28" spans="2:19" ht="15" customHeight="1" x14ac:dyDescent="0.25">
      <c r="B28" s="36"/>
      <c r="C28" s="36"/>
      <c r="D28" s="37" t="s">
        <v>381</v>
      </c>
      <c r="E28" s="38" t="s">
        <v>385</v>
      </c>
      <c r="F28" s="28" t="s">
        <v>61</v>
      </c>
      <c r="G28" s="39"/>
      <c r="H28" s="40"/>
      <c r="I28" s="41" t="s">
        <v>160</v>
      </c>
      <c r="J28" s="36"/>
      <c r="K28" s="36"/>
      <c r="L28" s="36"/>
      <c r="M28" s="36"/>
      <c r="N28" s="36"/>
      <c r="O28" s="36"/>
      <c r="P28" s="36"/>
      <c r="Q28" s="36"/>
    </row>
    <row r="29" spans="2:19" ht="15" customHeight="1" x14ac:dyDescent="0.25">
      <c r="B29" s="36"/>
      <c r="C29" s="36"/>
      <c r="D29" s="37" t="s">
        <v>381</v>
      </c>
      <c r="E29" s="38" t="s">
        <v>386</v>
      </c>
      <c r="F29" s="28" t="s">
        <v>61</v>
      </c>
      <c r="G29" s="39"/>
      <c r="H29" s="40"/>
      <c r="I29" s="41" t="s">
        <v>160</v>
      </c>
      <c r="J29" s="36"/>
      <c r="K29" s="36"/>
      <c r="L29" s="36"/>
      <c r="M29" s="36"/>
      <c r="N29" s="36"/>
      <c r="O29" s="36"/>
      <c r="P29" s="36"/>
      <c r="Q29" s="36"/>
    </row>
    <row r="30" spans="2:19" ht="33.75" customHeight="1" x14ac:dyDescent="0.25">
      <c r="B30" s="43"/>
      <c r="C30" s="43"/>
      <c r="D30" s="44" t="s">
        <v>387</v>
      </c>
      <c r="E30" s="45" t="s">
        <v>388</v>
      </c>
      <c r="F30" s="46" t="s">
        <v>389</v>
      </c>
      <c r="G30" s="47" t="s">
        <v>311</v>
      </c>
      <c r="H30" s="68" t="s">
        <v>42</v>
      </c>
      <c r="I30" s="28" t="s">
        <v>61</v>
      </c>
      <c r="J30" s="49" t="s">
        <v>20</v>
      </c>
      <c r="K30" s="50"/>
      <c r="L30" s="50"/>
      <c r="M30" s="50"/>
      <c r="N30" s="51">
        <f>COUNTIF(F32:F35,"Pendiente")+COUNTIF(F32:F35,"En Progreso")+COUNTIF(F32:F35,"En Revisión")+COUNTIF(F32:F35,"Completado")+COUNTIF(F32:F35,"Bloqueado")</f>
        <v>4</v>
      </c>
      <c r="O30" s="51">
        <f>COUNTIF(F32:F35,"Completado")</f>
        <v>0</v>
      </c>
      <c r="P30" s="52">
        <f>IFERROR(O30/N30,0)</f>
        <v>0</v>
      </c>
      <c r="Q30" s="53" t="s">
        <v>255</v>
      </c>
      <c r="R30">
        <f>COUNTIF(F32:F35,"En Progreso")</f>
        <v>0</v>
      </c>
      <c r="S30">
        <f>COUNTIF(F32:F35,"Pendiente")</f>
        <v>4</v>
      </c>
    </row>
    <row r="31" spans="2:19" ht="15.75" customHeight="1" x14ac:dyDescent="0.25">
      <c r="B31" s="33"/>
      <c r="C31" s="33"/>
      <c r="D31" s="34" t="s">
        <v>45</v>
      </c>
      <c r="E31" s="35" t="s">
        <v>46</v>
      </c>
      <c r="F31" s="34" t="s">
        <v>31</v>
      </c>
      <c r="G31" s="34" t="s">
        <v>32</v>
      </c>
      <c r="H31" s="34" t="s">
        <v>34</v>
      </c>
      <c r="I31" s="34" t="s">
        <v>47</v>
      </c>
      <c r="J31" s="33"/>
      <c r="K31" s="33"/>
      <c r="L31" s="33"/>
      <c r="M31" s="33"/>
      <c r="N31" s="33"/>
      <c r="O31" s="33"/>
      <c r="P31" s="33"/>
      <c r="Q31" s="33"/>
    </row>
    <row r="32" spans="2:19" ht="15" customHeight="1" x14ac:dyDescent="0.25">
      <c r="B32" s="36"/>
      <c r="C32" s="36"/>
      <c r="D32" s="37" t="s">
        <v>387</v>
      </c>
      <c r="E32" s="38" t="s">
        <v>390</v>
      </c>
      <c r="F32" s="28" t="s">
        <v>61</v>
      </c>
      <c r="G32" s="39"/>
      <c r="H32" s="40"/>
      <c r="I32" s="41" t="s">
        <v>160</v>
      </c>
      <c r="J32" s="36"/>
      <c r="K32" s="36"/>
      <c r="L32" s="36"/>
      <c r="M32" s="36"/>
      <c r="N32" s="36"/>
      <c r="O32" s="36"/>
      <c r="P32" s="36"/>
      <c r="Q32" s="36"/>
    </row>
    <row r="33" spans="2:19" ht="15" customHeight="1" x14ac:dyDescent="0.25">
      <c r="B33" s="36"/>
      <c r="C33" s="36"/>
      <c r="D33" s="37" t="s">
        <v>387</v>
      </c>
      <c r="E33" s="38" t="s">
        <v>391</v>
      </c>
      <c r="F33" s="28" t="s">
        <v>61</v>
      </c>
      <c r="G33" s="39"/>
      <c r="H33" s="40"/>
      <c r="I33" s="41" t="s">
        <v>160</v>
      </c>
      <c r="J33" s="36"/>
      <c r="K33" s="36"/>
      <c r="L33" s="36"/>
      <c r="M33" s="36"/>
      <c r="N33" s="36"/>
      <c r="O33" s="36"/>
      <c r="P33" s="36"/>
      <c r="Q33" s="36"/>
    </row>
    <row r="34" spans="2:19" ht="15" customHeight="1" x14ac:dyDescent="0.25">
      <c r="B34" s="36"/>
      <c r="C34" s="36"/>
      <c r="D34" s="37" t="s">
        <v>387</v>
      </c>
      <c r="E34" s="38" t="s">
        <v>392</v>
      </c>
      <c r="F34" s="28" t="s">
        <v>61</v>
      </c>
      <c r="G34" s="39"/>
      <c r="H34" s="40"/>
      <c r="I34" s="41" t="s">
        <v>160</v>
      </c>
      <c r="J34" s="36"/>
      <c r="K34" s="36"/>
      <c r="L34" s="36"/>
      <c r="M34" s="36"/>
      <c r="N34" s="36"/>
      <c r="O34" s="36"/>
      <c r="P34" s="36"/>
      <c r="Q34" s="36"/>
    </row>
    <row r="35" spans="2:19" ht="15" customHeight="1" x14ac:dyDescent="0.25">
      <c r="B35" s="36"/>
      <c r="C35" s="36"/>
      <c r="D35" s="37" t="s">
        <v>387</v>
      </c>
      <c r="E35" s="38" t="s">
        <v>393</v>
      </c>
      <c r="F35" s="28" t="s">
        <v>61</v>
      </c>
      <c r="G35" s="39"/>
      <c r="H35" s="40"/>
      <c r="I35" s="41" t="s">
        <v>160</v>
      </c>
      <c r="J35" s="36"/>
      <c r="K35" s="36"/>
      <c r="L35" s="36"/>
      <c r="M35" s="36"/>
      <c r="N35" s="36"/>
      <c r="O35" s="36"/>
      <c r="P35" s="36"/>
      <c r="Q35" s="36"/>
    </row>
    <row r="36" spans="2:19" ht="33.75" customHeight="1" x14ac:dyDescent="0.25">
      <c r="B36" s="57"/>
      <c r="C36" s="57"/>
      <c r="D36" s="58" t="s">
        <v>394</v>
      </c>
      <c r="E36" s="59" t="s">
        <v>395</v>
      </c>
      <c r="F36" s="60" t="s">
        <v>396</v>
      </c>
      <c r="G36" s="61" t="s">
        <v>244</v>
      </c>
      <c r="H36" s="62" t="s">
        <v>137</v>
      </c>
      <c r="I36" s="28" t="s">
        <v>61</v>
      </c>
      <c r="J36" s="63" t="s">
        <v>21</v>
      </c>
      <c r="K36" s="64"/>
      <c r="L36" s="64"/>
      <c r="M36" s="64"/>
      <c r="N36" s="65">
        <f>COUNTIF(F38:F40,"Pendiente")+COUNTIF(F38:F40,"En Progreso")+COUNTIF(F38:F40,"En Revisión")+COUNTIF(F38:F40,"Completado")+COUNTIF(F38:F40,"Bloqueado")</f>
        <v>3</v>
      </c>
      <c r="O36" s="65">
        <f>COUNTIF(F38:F40,"Completado")</f>
        <v>0</v>
      </c>
      <c r="P36" s="66">
        <f>IFERROR(O36/N36,0)</f>
        <v>0</v>
      </c>
      <c r="Q36" s="67" t="s">
        <v>255</v>
      </c>
      <c r="R36">
        <f>COUNTIF(F38:F40,"En Progreso")</f>
        <v>0</v>
      </c>
      <c r="S36">
        <f>COUNTIF(F38:F40,"Pendiente")</f>
        <v>3</v>
      </c>
    </row>
    <row r="37" spans="2:19" ht="15.75" customHeight="1" x14ac:dyDescent="0.25">
      <c r="B37" s="33"/>
      <c r="C37" s="33"/>
      <c r="D37" s="34" t="s">
        <v>45</v>
      </c>
      <c r="E37" s="35" t="s">
        <v>46</v>
      </c>
      <c r="F37" s="34" t="s">
        <v>31</v>
      </c>
      <c r="G37" s="34" t="s">
        <v>32</v>
      </c>
      <c r="H37" s="34" t="s">
        <v>34</v>
      </c>
      <c r="I37" s="34" t="s">
        <v>47</v>
      </c>
      <c r="J37" s="33"/>
      <c r="K37" s="33"/>
      <c r="L37" s="33"/>
      <c r="M37" s="33"/>
      <c r="N37" s="33"/>
      <c r="O37" s="33"/>
      <c r="P37" s="33"/>
      <c r="Q37" s="33"/>
    </row>
    <row r="38" spans="2:19" ht="15" customHeight="1" x14ac:dyDescent="0.25">
      <c r="B38" s="36"/>
      <c r="C38" s="36"/>
      <c r="D38" s="37" t="s">
        <v>394</v>
      </c>
      <c r="E38" s="38" t="s">
        <v>397</v>
      </c>
      <c r="F38" s="28" t="s">
        <v>61</v>
      </c>
      <c r="G38" s="39"/>
      <c r="H38" s="40"/>
      <c r="I38" s="41" t="s">
        <v>160</v>
      </c>
      <c r="J38" s="36"/>
      <c r="K38" s="36"/>
      <c r="L38" s="36"/>
      <c r="M38" s="36"/>
      <c r="N38" s="36"/>
      <c r="O38" s="36"/>
      <c r="P38" s="36"/>
      <c r="Q38" s="36"/>
    </row>
    <row r="39" spans="2:19" ht="15" customHeight="1" x14ac:dyDescent="0.25">
      <c r="B39" s="36"/>
      <c r="C39" s="36"/>
      <c r="D39" s="37" t="s">
        <v>394</v>
      </c>
      <c r="E39" s="38" t="s">
        <v>398</v>
      </c>
      <c r="F39" s="28" t="s">
        <v>61</v>
      </c>
      <c r="G39" s="39"/>
      <c r="H39" s="40"/>
      <c r="I39" s="41" t="s">
        <v>160</v>
      </c>
      <c r="J39" s="36"/>
      <c r="K39" s="36"/>
      <c r="L39" s="36"/>
      <c r="M39" s="36"/>
      <c r="N39" s="36"/>
      <c r="O39" s="36"/>
      <c r="P39" s="36"/>
      <c r="Q39" s="36"/>
    </row>
    <row r="40" spans="2:19" ht="15" customHeight="1" x14ac:dyDescent="0.25">
      <c r="B40" s="36"/>
      <c r="C40" s="36"/>
      <c r="D40" s="37" t="s">
        <v>394</v>
      </c>
      <c r="E40" s="38" t="s">
        <v>399</v>
      </c>
      <c r="F40" s="28" t="s">
        <v>61</v>
      </c>
      <c r="G40" s="39"/>
      <c r="H40" s="40"/>
      <c r="I40" s="41" t="s">
        <v>160</v>
      </c>
      <c r="J40" s="36"/>
      <c r="K40" s="36"/>
      <c r="L40" s="36"/>
      <c r="M40" s="36"/>
      <c r="N40" s="36"/>
      <c r="O40" s="36"/>
      <c r="P40" s="36"/>
      <c r="Q40" s="36"/>
    </row>
    <row r="42" spans="2:19" ht="21.75" customHeight="1" x14ac:dyDescent="0.25">
      <c r="B42" s="3" t="s">
        <v>173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54">
        <f>COUNTIF(F7:F41,"Pendiente")+COUNTIF(F7:F41,"En Progreso")+COUNTIF(F7:F41,"En Revisión")+COUNTIF(F7:F41,"Completado")+COUNTIF(F7:F41,"Bloqueado")</f>
        <v>22</v>
      </c>
      <c r="O42" s="54">
        <f>COUNTIF(F7:F41,"Completado")</f>
        <v>0</v>
      </c>
      <c r="P42" s="55">
        <f>IFERROR(O42/N42,0)</f>
        <v>0</v>
      </c>
      <c r="Q42" s="56"/>
    </row>
  </sheetData>
  <mergeCells count="4">
    <mergeCell ref="A2:Q2"/>
    <mergeCell ref="A3:Q3"/>
    <mergeCell ref="A4:Q4"/>
    <mergeCell ref="B42:M42"/>
  </mergeCells>
  <dataValidations count="2">
    <dataValidation type="list" allowBlank="1" sqref="I7 F9:F12 I13 F15:F18 I19 F21:F24 I25 F27:F29 I30 F32:F35 I36 F38:F40" xr:uid="{00000000-0002-0000-0500-000000000000}">
      <formula1>"Pendiente,En Progreso,En Revisión,Completado,Bloqueado"</formula1>
      <formula2>0</formula2>
    </dataValidation>
    <dataValidation type="list" allowBlank="1" sqref="J7 J13 J19 J25 J30 J36" xr:uid="{00000000-0002-0000-0500-000001000000}">
      <formula1>"Demo,Fase 2,Fase 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9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7109375" defaultRowHeight="15" x14ac:dyDescent="0.25"/>
  <cols>
    <col min="1" max="1" width="2" customWidth="1"/>
    <col min="2" max="2" width="4" customWidth="1"/>
    <col min="3" max="3" width="3" customWidth="1"/>
    <col min="4" max="4" width="12" customWidth="1"/>
    <col min="5" max="5" width="30" customWidth="1"/>
    <col min="6" max="6" width="34" customWidth="1"/>
    <col min="7" max="7" width="19" customWidth="1"/>
    <col min="8" max="8" width="11" customWidth="1"/>
    <col min="9" max="9" width="15" customWidth="1"/>
    <col min="10" max="10" width="9" customWidth="1"/>
    <col min="11" max="11" width="15" customWidth="1"/>
    <col min="12" max="13" width="11" customWidth="1"/>
    <col min="14" max="14" width="9" customWidth="1"/>
    <col min="15" max="15" width="10" customWidth="1"/>
    <col min="16" max="16" width="9" customWidth="1"/>
    <col min="17" max="17" width="40" customWidth="1"/>
    <col min="18" max="19" width="13" hidden="1" customWidth="1"/>
  </cols>
  <sheetData>
    <row r="1" spans="1:19" ht="7.5" customHeight="1" x14ac:dyDescent="0.25"/>
    <row r="2" spans="1:19" ht="39.75" customHeight="1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9" ht="19.5" customHeight="1" x14ac:dyDescent="0.25">
      <c r="A3" s="5" t="s">
        <v>400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9" ht="42" customHeight="1" x14ac:dyDescent="0.25">
      <c r="A4" s="4" t="s">
        <v>401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9" ht="6" customHeight="1" x14ac:dyDescent="0.25"/>
    <row r="6" spans="1:19" ht="25.5" customHeight="1" x14ac:dyDescent="0.25">
      <c r="A6" s="11"/>
      <c r="B6" s="11" t="s">
        <v>25</v>
      </c>
      <c r="C6" s="11"/>
      <c r="D6" s="11" t="s">
        <v>26</v>
      </c>
      <c r="E6" s="11" t="s">
        <v>27</v>
      </c>
      <c r="F6" s="11" t="s">
        <v>28</v>
      </c>
      <c r="G6" s="11" t="s">
        <v>29</v>
      </c>
      <c r="H6" s="11" t="s">
        <v>30</v>
      </c>
      <c r="I6" s="11" t="s">
        <v>31</v>
      </c>
      <c r="J6" s="11" t="s">
        <v>18</v>
      </c>
      <c r="K6" s="11" t="s">
        <v>32</v>
      </c>
      <c r="L6" s="11" t="s">
        <v>33</v>
      </c>
      <c r="M6" s="11" t="s">
        <v>34</v>
      </c>
      <c r="N6" s="11" t="s">
        <v>35</v>
      </c>
      <c r="O6" s="11" t="s">
        <v>36</v>
      </c>
      <c r="P6" s="11" t="s">
        <v>9</v>
      </c>
      <c r="Q6" s="11" t="s">
        <v>37</v>
      </c>
    </row>
    <row r="7" spans="1:19" ht="33.75" customHeight="1" x14ac:dyDescent="0.25">
      <c r="B7" s="57"/>
      <c r="C7" s="57"/>
      <c r="D7" s="58" t="s">
        <v>402</v>
      </c>
      <c r="E7" s="59" t="s">
        <v>403</v>
      </c>
      <c r="F7" s="60" t="s">
        <v>404</v>
      </c>
      <c r="G7" s="61" t="s">
        <v>254</v>
      </c>
      <c r="H7" s="69" t="s">
        <v>42</v>
      </c>
      <c r="I7" s="28" t="s">
        <v>61</v>
      </c>
      <c r="J7" s="63" t="s">
        <v>21</v>
      </c>
      <c r="K7" s="64"/>
      <c r="L7" s="64"/>
      <c r="M7" s="64"/>
      <c r="N7" s="65">
        <f>COUNTIF(F9:F12,"Pendiente")+COUNTIF(F9:F12,"En Progreso")+COUNTIF(F9:F12,"En Revisión")+COUNTIF(F9:F12,"Completado")+COUNTIF(F9:F12,"Bloqueado")</f>
        <v>4</v>
      </c>
      <c r="O7" s="65">
        <f>COUNTIF(F9:F12,"Completado")</f>
        <v>0</v>
      </c>
      <c r="P7" s="66">
        <f>IFERROR(O7/N7,0)</f>
        <v>0</v>
      </c>
      <c r="Q7" s="67" t="s">
        <v>255</v>
      </c>
      <c r="R7">
        <f>COUNTIF(F9:F12,"En Progreso")</f>
        <v>0</v>
      </c>
      <c r="S7">
        <f>COUNTIF(F9:F12,"Pendiente")</f>
        <v>4</v>
      </c>
    </row>
    <row r="8" spans="1:19" ht="15.75" customHeight="1" x14ac:dyDescent="0.25">
      <c r="B8" s="33"/>
      <c r="C8" s="33"/>
      <c r="D8" s="34" t="s">
        <v>45</v>
      </c>
      <c r="E8" s="35" t="s">
        <v>46</v>
      </c>
      <c r="F8" s="34" t="s">
        <v>31</v>
      </c>
      <c r="G8" s="34" t="s">
        <v>32</v>
      </c>
      <c r="H8" s="34" t="s">
        <v>34</v>
      </c>
      <c r="I8" s="34" t="s">
        <v>47</v>
      </c>
      <c r="J8" s="33"/>
      <c r="K8" s="33"/>
      <c r="L8" s="33"/>
      <c r="M8" s="33"/>
      <c r="N8" s="33"/>
      <c r="O8" s="33"/>
      <c r="P8" s="33"/>
      <c r="Q8" s="33"/>
    </row>
    <row r="9" spans="1:19" ht="15" customHeight="1" x14ac:dyDescent="0.25">
      <c r="B9" s="36"/>
      <c r="C9" s="36"/>
      <c r="D9" s="37" t="s">
        <v>402</v>
      </c>
      <c r="E9" s="38" t="s">
        <v>405</v>
      </c>
      <c r="F9" s="28" t="s">
        <v>61</v>
      </c>
      <c r="G9" s="39"/>
      <c r="H9" s="40"/>
      <c r="I9" s="41" t="s">
        <v>160</v>
      </c>
      <c r="J9" s="36"/>
      <c r="K9" s="36"/>
      <c r="L9" s="36"/>
      <c r="M9" s="36"/>
      <c r="N9" s="36"/>
      <c r="O9" s="36"/>
      <c r="P9" s="36"/>
      <c r="Q9" s="36"/>
    </row>
    <row r="10" spans="1:19" ht="15" customHeight="1" x14ac:dyDescent="0.25">
      <c r="B10" s="36"/>
      <c r="C10" s="36"/>
      <c r="D10" s="37" t="s">
        <v>402</v>
      </c>
      <c r="E10" s="38" t="s">
        <v>406</v>
      </c>
      <c r="F10" s="28" t="s">
        <v>61</v>
      </c>
      <c r="G10" s="39"/>
      <c r="H10" s="40"/>
      <c r="I10" s="41" t="s">
        <v>160</v>
      </c>
      <c r="J10" s="36"/>
      <c r="K10" s="36"/>
      <c r="L10" s="36"/>
      <c r="M10" s="36"/>
      <c r="N10" s="36"/>
      <c r="O10" s="36"/>
      <c r="P10" s="36"/>
      <c r="Q10" s="36"/>
    </row>
    <row r="11" spans="1:19" ht="15" customHeight="1" x14ac:dyDescent="0.25">
      <c r="B11" s="36"/>
      <c r="C11" s="36"/>
      <c r="D11" s="37" t="s">
        <v>402</v>
      </c>
      <c r="E11" s="38" t="s">
        <v>407</v>
      </c>
      <c r="F11" s="28" t="s">
        <v>61</v>
      </c>
      <c r="G11" s="39"/>
      <c r="H11" s="40"/>
      <c r="I11" s="41" t="s">
        <v>160</v>
      </c>
      <c r="J11" s="36"/>
      <c r="K11" s="36"/>
      <c r="L11" s="36"/>
      <c r="M11" s="36"/>
      <c r="N11" s="36"/>
      <c r="O11" s="36"/>
      <c r="P11" s="36"/>
      <c r="Q11" s="36"/>
    </row>
    <row r="12" spans="1:19" ht="15" customHeight="1" x14ac:dyDescent="0.25">
      <c r="B12" s="36"/>
      <c r="C12" s="36"/>
      <c r="D12" s="37" t="s">
        <v>402</v>
      </c>
      <c r="E12" s="38" t="s">
        <v>408</v>
      </c>
      <c r="F12" s="28" t="s">
        <v>61</v>
      </c>
      <c r="G12" s="39"/>
      <c r="H12" s="40"/>
      <c r="I12" s="41" t="s">
        <v>160</v>
      </c>
      <c r="J12" s="36"/>
      <c r="K12" s="36"/>
      <c r="L12" s="36"/>
      <c r="M12" s="36"/>
      <c r="N12" s="36"/>
      <c r="O12" s="36"/>
      <c r="P12" s="36"/>
      <c r="Q12" s="36"/>
    </row>
    <row r="13" spans="1:19" ht="33.75" customHeight="1" x14ac:dyDescent="0.25">
      <c r="B13" s="57"/>
      <c r="C13" s="57"/>
      <c r="D13" s="58" t="s">
        <v>409</v>
      </c>
      <c r="E13" s="59" t="s">
        <v>410</v>
      </c>
      <c r="F13" s="60" t="s">
        <v>411</v>
      </c>
      <c r="G13" s="61" t="s">
        <v>271</v>
      </c>
      <c r="H13" s="69" t="s">
        <v>42</v>
      </c>
      <c r="I13" s="28" t="s">
        <v>61</v>
      </c>
      <c r="J13" s="63" t="s">
        <v>21</v>
      </c>
      <c r="K13" s="64"/>
      <c r="L13" s="64"/>
      <c r="M13" s="64"/>
      <c r="N13" s="65">
        <f>COUNTIF(F15:F18,"Pendiente")+COUNTIF(F15:F18,"En Progreso")+COUNTIF(F15:F18,"En Revisión")+COUNTIF(F15:F18,"Completado")+COUNTIF(F15:F18,"Bloqueado")</f>
        <v>4</v>
      </c>
      <c r="O13" s="65">
        <f>COUNTIF(F15:F18,"Completado")</f>
        <v>0</v>
      </c>
      <c r="P13" s="66">
        <f>IFERROR(O13/N13,0)</f>
        <v>0</v>
      </c>
      <c r="Q13" s="67" t="s">
        <v>255</v>
      </c>
      <c r="R13">
        <f>COUNTIF(F15:F18,"En Progreso")</f>
        <v>0</v>
      </c>
      <c r="S13">
        <f>COUNTIF(F15:F18,"Pendiente")</f>
        <v>4</v>
      </c>
    </row>
    <row r="14" spans="1:19" ht="15.75" customHeight="1" x14ac:dyDescent="0.25">
      <c r="B14" s="33"/>
      <c r="C14" s="33"/>
      <c r="D14" s="34" t="s">
        <v>45</v>
      </c>
      <c r="E14" s="35" t="s">
        <v>46</v>
      </c>
      <c r="F14" s="34" t="s">
        <v>31</v>
      </c>
      <c r="G14" s="34" t="s">
        <v>32</v>
      </c>
      <c r="H14" s="34" t="s">
        <v>34</v>
      </c>
      <c r="I14" s="34" t="s">
        <v>47</v>
      </c>
      <c r="J14" s="33"/>
      <c r="K14" s="33"/>
      <c r="L14" s="33"/>
      <c r="M14" s="33"/>
      <c r="N14" s="33"/>
      <c r="O14" s="33"/>
      <c r="P14" s="33"/>
      <c r="Q14" s="33"/>
    </row>
    <row r="15" spans="1:19" ht="15" customHeight="1" x14ac:dyDescent="0.25">
      <c r="B15" s="36"/>
      <c r="C15" s="36"/>
      <c r="D15" s="37" t="s">
        <v>409</v>
      </c>
      <c r="E15" s="38" t="s">
        <v>412</v>
      </c>
      <c r="F15" s="28" t="s">
        <v>61</v>
      </c>
      <c r="G15" s="39"/>
      <c r="H15" s="40"/>
      <c r="I15" s="41" t="s">
        <v>160</v>
      </c>
      <c r="J15" s="36"/>
      <c r="K15" s="36"/>
      <c r="L15" s="36"/>
      <c r="M15" s="36"/>
      <c r="N15" s="36"/>
      <c r="O15" s="36"/>
      <c r="P15" s="36"/>
      <c r="Q15" s="36"/>
    </row>
    <row r="16" spans="1:19" ht="15" customHeight="1" x14ac:dyDescent="0.25">
      <c r="B16" s="36"/>
      <c r="C16" s="36"/>
      <c r="D16" s="37" t="s">
        <v>409</v>
      </c>
      <c r="E16" s="38" t="s">
        <v>413</v>
      </c>
      <c r="F16" s="28" t="s">
        <v>61</v>
      </c>
      <c r="G16" s="39"/>
      <c r="H16" s="40"/>
      <c r="I16" s="41" t="s">
        <v>160</v>
      </c>
      <c r="J16" s="36"/>
      <c r="K16" s="36"/>
      <c r="L16" s="36"/>
      <c r="M16" s="36"/>
      <c r="N16" s="36"/>
      <c r="O16" s="36"/>
      <c r="P16" s="36"/>
      <c r="Q16" s="36"/>
    </row>
    <row r="17" spans="2:19" ht="15" customHeight="1" x14ac:dyDescent="0.25">
      <c r="B17" s="36"/>
      <c r="C17" s="36"/>
      <c r="D17" s="37" t="s">
        <v>409</v>
      </c>
      <c r="E17" s="38" t="s">
        <v>414</v>
      </c>
      <c r="F17" s="28" t="s">
        <v>61</v>
      </c>
      <c r="G17" s="39"/>
      <c r="H17" s="40"/>
      <c r="I17" s="41" t="s">
        <v>160</v>
      </c>
      <c r="J17" s="36"/>
      <c r="K17" s="36"/>
      <c r="L17" s="36"/>
      <c r="M17" s="36"/>
      <c r="N17" s="36"/>
      <c r="O17" s="36"/>
      <c r="P17" s="36"/>
      <c r="Q17" s="36"/>
    </row>
    <row r="18" spans="2:19" ht="15" customHeight="1" x14ac:dyDescent="0.25">
      <c r="B18" s="36"/>
      <c r="C18" s="36"/>
      <c r="D18" s="37" t="s">
        <v>409</v>
      </c>
      <c r="E18" s="38" t="s">
        <v>415</v>
      </c>
      <c r="F18" s="28" t="s">
        <v>61</v>
      </c>
      <c r="G18" s="39"/>
      <c r="H18" s="40"/>
      <c r="I18" s="41" t="s">
        <v>160</v>
      </c>
      <c r="J18" s="36"/>
      <c r="K18" s="36"/>
      <c r="L18" s="36"/>
      <c r="M18" s="36"/>
      <c r="N18" s="36"/>
      <c r="O18" s="36"/>
      <c r="P18" s="36"/>
      <c r="Q18" s="36"/>
    </row>
    <row r="19" spans="2:19" ht="33.75" customHeight="1" x14ac:dyDescent="0.25">
      <c r="B19" s="57"/>
      <c r="C19" s="57"/>
      <c r="D19" s="58" t="s">
        <v>416</v>
      </c>
      <c r="E19" s="59" t="s">
        <v>417</v>
      </c>
      <c r="F19" s="60" t="s">
        <v>418</v>
      </c>
      <c r="G19" s="61" t="s">
        <v>99</v>
      </c>
      <c r="H19" s="69" t="s">
        <v>42</v>
      </c>
      <c r="I19" s="28" t="s">
        <v>61</v>
      </c>
      <c r="J19" s="63" t="s">
        <v>21</v>
      </c>
      <c r="K19" s="64"/>
      <c r="L19" s="64"/>
      <c r="M19" s="64"/>
      <c r="N19" s="65">
        <f>COUNTIF(F21:F24,"Pendiente")+COUNTIF(F21:F24,"En Progreso")+COUNTIF(F21:F24,"En Revisión")+COUNTIF(F21:F24,"Completado")+COUNTIF(F21:F24,"Bloqueado")</f>
        <v>4</v>
      </c>
      <c r="O19" s="65">
        <f>COUNTIF(F21:F24,"Completado")</f>
        <v>0</v>
      </c>
      <c r="P19" s="66">
        <f>IFERROR(O19/N19,0)</f>
        <v>0</v>
      </c>
      <c r="Q19" s="67" t="s">
        <v>255</v>
      </c>
      <c r="R19">
        <f>COUNTIF(F21:F24,"En Progreso")</f>
        <v>0</v>
      </c>
      <c r="S19">
        <f>COUNTIF(F21:F24,"Pendiente")</f>
        <v>4</v>
      </c>
    </row>
    <row r="20" spans="2:19" ht="15.75" customHeight="1" x14ac:dyDescent="0.25">
      <c r="B20" s="33"/>
      <c r="C20" s="33"/>
      <c r="D20" s="34" t="s">
        <v>45</v>
      </c>
      <c r="E20" s="35" t="s">
        <v>46</v>
      </c>
      <c r="F20" s="34" t="s">
        <v>31</v>
      </c>
      <c r="G20" s="34" t="s">
        <v>32</v>
      </c>
      <c r="H20" s="34" t="s">
        <v>34</v>
      </c>
      <c r="I20" s="34" t="s">
        <v>47</v>
      </c>
      <c r="J20" s="33"/>
      <c r="K20" s="33"/>
      <c r="L20" s="33"/>
      <c r="M20" s="33"/>
      <c r="N20" s="33"/>
      <c r="O20" s="33"/>
      <c r="P20" s="33"/>
      <c r="Q20" s="33"/>
    </row>
    <row r="21" spans="2:19" ht="15" customHeight="1" x14ac:dyDescent="0.25">
      <c r="B21" s="36"/>
      <c r="C21" s="36"/>
      <c r="D21" s="37" t="s">
        <v>416</v>
      </c>
      <c r="E21" s="38" t="s">
        <v>419</v>
      </c>
      <c r="F21" s="28" t="s">
        <v>61</v>
      </c>
      <c r="G21" s="39"/>
      <c r="H21" s="40"/>
      <c r="I21" s="41" t="s">
        <v>160</v>
      </c>
      <c r="J21" s="36"/>
      <c r="K21" s="36"/>
      <c r="L21" s="36"/>
      <c r="M21" s="36"/>
      <c r="N21" s="36"/>
      <c r="O21" s="36"/>
      <c r="P21" s="36"/>
      <c r="Q21" s="36"/>
    </row>
    <row r="22" spans="2:19" ht="15" customHeight="1" x14ac:dyDescent="0.25">
      <c r="B22" s="36"/>
      <c r="C22" s="36"/>
      <c r="D22" s="37" t="s">
        <v>416</v>
      </c>
      <c r="E22" s="38" t="s">
        <v>420</v>
      </c>
      <c r="F22" s="28" t="s">
        <v>61</v>
      </c>
      <c r="G22" s="39"/>
      <c r="H22" s="40"/>
      <c r="I22" s="41" t="s">
        <v>160</v>
      </c>
      <c r="J22" s="36"/>
      <c r="K22" s="36"/>
      <c r="L22" s="36"/>
      <c r="M22" s="36"/>
      <c r="N22" s="36"/>
      <c r="O22" s="36"/>
      <c r="P22" s="36"/>
      <c r="Q22" s="36"/>
    </row>
    <row r="23" spans="2:19" ht="15" customHeight="1" x14ac:dyDescent="0.25">
      <c r="B23" s="36"/>
      <c r="C23" s="36"/>
      <c r="D23" s="37" t="s">
        <v>416</v>
      </c>
      <c r="E23" s="38" t="s">
        <v>421</v>
      </c>
      <c r="F23" s="28" t="s">
        <v>61</v>
      </c>
      <c r="G23" s="39"/>
      <c r="H23" s="40"/>
      <c r="I23" s="41" t="s">
        <v>160</v>
      </c>
      <c r="J23" s="36"/>
      <c r="K23" s="36"/>
      <c r="L23" s="36"/>
      <c r="M23" s="36"/>
      <c r="N23" s="36"/>
      <c r="O23" s="36"/>
      <c r="P23" s="36"/>
      <c r="Q23" s="36"/>
    </row>
    <row r="24" spans="2:19" ht="15" customHeight="1" x14ac:dyDescent="0.25">
      <c r="B24" s="36"/>
      <c r="C24" s="36"/>
      <c r="D24" s="37" t="s">
        <v>416</v>
      </c>
      <c r="E24" s="38" t="s">
        <v>422</v>
      </c>
      <c r="F24" s="28" t="s">
        <v>61</v>
      </c>
      <c r="G24" s="39"/>
      <c r="H24" s="40"/>
      <c r="I24" s="41" t="s">
        <v>160</v>
      </c>
      <c r="J24" s="36"/>
      <c r="K24" s="36"/>
      <c r="L24" s="36"/>
      <c r="M24" s="36"/>
      <c r="N24" s="36"/>
      <c r="O24" s="36"/>
      <c r="P24" s="36"/>
      <c r="Q24" s="36"/>
    </row>
    <row r="25" spans="2:19" ht="33.75" customHeight="1" x14ac:dyDescent="0.25">
      <c r="B25" s="57"/>
      <c r="C25" s="57"/>
      <c r="D25" s="58" t="s">
        <v>423</v>
      </c>
      <c r="E25" s="59" t="s">
        <v>424</v>
      </c>
      <c r="F25" s="60" t="s">
        <v>425</v>
      </c>
      <c r="G25" s="61" t="s">
        <v>352</v>
      </c>
      <c r="H25" s="69" t="s">
        <v>42</v>
      </c>
      <c r="I25" s="28" t="s">
        <v>61</v>
      </c>
      <c r="J25" s="63" t="s">
        <v>21</v>
      </c>
      <c r="K25" s="64"/>
      <c r="L25" s="64"/>
      <c r="M25" s="64"/>
      <c r="N25" s="65">
        <f>COUNTIF(F27:F30,"Pendiente")+COUNTIF(F27:F30,"En Progreso")+COUNTIF(F27:F30,"En Revisión")+COUNTIF(F27:F30,"Completado")+COUNTIF(F27:F30,"Bloqueado")</f>
        <v>4</v>
      </c>
      <c r="O25" s="65">
        <f>COUNTIF(F27:F30,"Completado")</f>
        <v>0</v>
      </c>
      <c r="P25" s="66">
        <f>IFERROR(O25/N25,0)</f>
        <v>0</v>
      </c>
      <c r="Q25" s="67" t="s">
        <v>255</v>
      </c>
      <c r="R25">
        <f>COUNTIF(F27:F30,"En Progreso")</f>
        <v>0</v>
      </c>
      <c r="S25">
        <f>COUNTIF(F27:F30,"Pendiente")</f>
        <v>4</v>
      </c>
    </row>
    <row r="26" spans="2:19" ht="15.75" customHeight="1" x14ac:dyDescent="0.25">
      <c r="B26" s="33"/>
      <c r="C26" s="33"/>
      <c r="D26" s="34" t="s">
        <v>45</v>
      </c>
      <c r="E26" s="35" t="s">
        <v>46</v>
      </c>
      <c r="F26" s="34" t="s">
        <v>31</v>
      </c>
      <c r="G26" s="34" t="s">
        <v>32</v>
      </c>
      <c r="H26" s="34" t="s">
        <v>34</v>
      </c>
      <c r="I26" s="34" t="s">
        <v>47</v>
      </c>
      <c r="J26" s="33"/>
      <c r="K26" s="33"/>
      <c r="L26" s="33"/>
      <c r="M26" s="33"/>
      <c r="N26" s="33"/>
      <c r="O26" s="33"/>
      <c r="P26" s="33"/>
      <c r="Q26" s="33"/>
    </row>
    <row r="27" spans="2:19" ht="15" customHeight="1" x14ac:dyDescent="0.25">
      <c r="B27" s="36"/>
      <c r="C27" s="36"/>
      <c r="D27" s="37" t="s">
        <v>423</v>
      </c>
      <c r="E27" s="38" t="s">
        <v>426</v>
      </c>
      <c r="F27" s="28" t="s">
        <v>61</v>
      </c>
      <c r="G27" s="39"/>
      <c r="H27" s="40"/>
      <c r="I27" s="41" t="s">
        <v>160</v>
      </c>
      <c r="J27" s="36"/>
      <c r="K27" s="36"/>
      <c r="L27" s="36"/>
      <c r="M27" s="36"/>
      <c r="N27" s="36"/>
      <c r="O27" s="36"/>
      <c r="P27" s="36"/>
      <c r="Q27" s="36"/>
    </row>
    <row r="28" spans="2:19" ht="15" customHeight="1" x14ac:dyDescent="0.25">
      <c r="B28" s="36"/>
      <c r="C28" s="36"/>
      <c r="D28" s="37" t="s">
        <v>423</v>
      </c>
      <c r="E28" s="38" t="s">
        <v>427</v>
      </c>
      <c r="F28" s="28" t="s">
        <v>61</v>
      </c>
      <c r="G28" s="39"/>
      <c r="H28" s="40"/>
      <c r="I28" s="41" t="s">
        <v>160</v>
      </c>
      <c r="J28" s="36"/>
      <c r="K28" s="36"/>
      <c r="L28" s="36"/>
      <c r="M28" s="36"/>
      <c r="N28" s="36"/>
      <c r="O28" s="36"/>
      <c r="P28" s="36"/>
      <c r="Q28" s="36"/>
    </row>
    <row r="29" spans="2:19" ht="15" customHeight="1" x14ac:dyDescent="0.25">
      <c r="B29" s="36"/>
      <c r="C29" s="36"/>
      <c r="D29" s="37" t="s">
        <v>423</v>
      </c>
      <c r="E29" s="38" t="s">
        <v>428</v>
      </c>
      <c r="F29" s="28" t="s">
        <v>61</v>
      </c>
      <c r="G29" s="39"/>
      <c r="H29" s="40"/>
      <c r="I29" s="41" t="s">
        <v>160</v>
      </c>
      <c r="J29" s="36"/>
      <c r="K29" s="36"/>
      <c r="L29" s="36"/>
      <c r="M29" s="36"/>
      <c r="N29" s="36"/>
      <c r="O29" s="36"/>
      <c r="P29" s="36"/>
      <c r="Q29" s="36"/>
    </row>
    <row r="30" spans="2:19" ht="15" customHeight="1" x14ac:dyDescent="0.25">
      <c r="B30" s="36"/>
      <c r="C30" s="36"/>
      <c r="D30" s="37" t="s">
        <v>423</v>
      </c>
      <c r="E30" s="38" t="s">
        <v>429</v>
      </c>
      <c r="F30" s="28" t="s">
        <v>61</v>
      </c>
      <c r="G30" s="39"/>
      <c r="H30" s="40"/>
      <c r="I30" s="41" t="s">
        <v>160</v>
      </c>
      <c r="J30" s="36"/>
      <c r="K30" s="36"/>
      <c r="L30" s="36"/>
      <c r="M30" s="36"/>
      <c r="N30" s="36"/>
      <c r="O30" s="36"/>
      <c r="P30" s="36"/>
      <c r="Q30" s="36"/>
    </row>
    <row r="31" spans="2:19" ht="33.75" customHeight="1" x14ac:dyDescent="0.25">
      <c r="B31" s="57"/>
      <c r="C31" s="57"/>
      <c r="D31" s="58" t="s">
        <v>430</v>
      </c>
      <c r="E31" s="59" t="s">
        <v>431</v>
      </c>
      <c r="F31" s="60" t="s">
        <v>432</v>
      </c>
      <c r="G31" s="61" t="s">
        <v>99</v>
      </c>
      <c r="H31" s="69" t="s">
        <v>42</v>
      </c>
      <c r="I31" s="28" t="s">
        <v>61</v>
      </c>
      <c r="J31" s="63" t="s">
        <v>21</v>
      </c>
      <c r="K31" s="64"/>
      <c r="L31" s="64"/>
      <c r="M31" s="64"/>
      <c r="N31" s="65">
        <f>COUNTIF(F33:F36,"Pendiente")+COUNTIF(F33:F36,"En Progreso")+COUNTIF(F33:F36,"En Revisión")+COUNTIF(F33:F36,"Completado")+COUNTIF(F33:F36,"Bloqueado")</f>
        <v>4</v>
      </c>
      <c r="O31" s="65">
        <f>COUNTIF(F33:F36,"Completado")</f>
        <v>0</v>
      </c>
      <c r="P31" s="66">
        <f>IFERROR(O31/N31,0)</f>
        <v>0</v>
      </c>
      <c r="Q31" s="67" t="s">
        <v>255</v>
      </c>
      <c r="R31">
        <f>COUNTIF(F33:F36,"En Progreso")</f>
        <v>0</v>
      </c>
      <c r="S31">
        <f>COUNTIF(F33:F36,"Pendiente")</f>
        <v>4</v>
      </c>
    </row>
    <row r="32" spans="2:19" ht="15.75" customHeight="1" x14ac:dyDescent="0.25">
      <c r="B32" s="33"/>
      <c r="C32" s="33"/>
      <c r="D32" s="34" t="s">
        <v>45</v>
      </c>
      <c r="E32" s="35" t="s">
        <v>46</v>
      </c>
      <c r="F32" s="34" t="s">
        <v>31</v>
      </c>
      <c r="G32" s="34" t="s">
        <v>32</v>
      </c>
      <c r="H32" s="34" t="s">
        <v>34</v>
      </c>
      <c r="I32" s="34" t="s">
        <v>47</v>
      </c>
      <c r="J32" s="33"/>
      <c r="K32" s="33"/>
      <c r="L32" s="33"/>
      <c r="M32" s="33"/>
      <c r="N32" s="33"/>
      <c r="O32" s="33"/>
      <c r="P32" s="33"/>
      <c r="Q32" s="33"/>
    </row>
    <row r="33" spans="2:19" ht="15" customHeight="1" x14ac:dyDescent="0.25">
      <c r="B33" s="36"/>
      <c r="C33" s="36"/>
      <c r="D33" s="37" t="s">
        <v>430</v>
      </c>
      <c r="E33" s="38" t="s">
        <v>433</v>
      </c>
      <c r="F33" s="28" t="s">
        <v>61</v>
      </c>
      <c r="G33" s="39"/>
      <c r="H33" s="40"/>
      <c r="I33" s="41" t="s">
        <v>160</v>
      </c>
      <c r="J33" s="36"/>
      <c r="K33" s="36"/>
      <c r="L33" s="36"/>
      <c r="M33" s="36"/>
      <c r="N33" s="36"/>
      <c r="O33" s="36"/>
      <c r="P33" s="36"/>
      <c r="Q33" s="36"/>
    </row>
    <row r="34" spans="2:19" ht="15" customHeight="1" x14ac:dyDescent="0.25">
      <c r="B34" s="36"/>
      <c r="C34" s="36"/>
      <c r="D34" s="37" t="s">
        <v>430</v>
      </c>
      <c r="E34" s="38" t="s">
        <v>434</v>
      </c>
      <c r="F34" s="28" t="s">
        <v>61</v>
      </c>
      <c r="G34" s="39"/>
      <c r="H34" s="40"/>
      <c r="I34" s="41" t="s">
        <v>160</v>
      </c>
      <c r="J34" s="36"/>
      <c r="K34" s="36"/>
      <c r="L34" s="36"/>
      <c r="M34" s="36"/>
      <c r="N34" s="36"/>
      <c r="O34" s="36"/>
      <c r="P34" s="36"/>
      <c r="Q34" s="36"/>
    </row>
    <row r="35" spans="2:19" ht="15" customHeight="1" x14ac:dyDescent="0.25">
      <c r="B35" s="36"/>
      <c r="C35" s="36"/>
      <c r="D35" s="37" t="s">
        <v>430</v>
      </c>
      <c r="E35" s="38" t="s">
        <v>435</v>
      </c>
      <c r="F35" s="28" t="s">
        <v>61</v>
      </c>
      <c r="G35" s="39"/>
      <c r="H35" s="40"/>
      <c r="I35" s="41" t="s">
        <v>160</v>
      </c>
      <c r="J35" s="36"/>
      <c r="K35" s="36"/>
      <c r="L35" s="36"/>
      <c r="M35" s="36"/>
      <c r="N35" s="36"/>
      <c r="O35" s="36"/>
      <c r="P35" s="36"/>
      <c r="Q35" s="36"/>
    </row>
    <row r="36" spans="2:19" ht="15" customHeight="1" x14ac:dyDescent="0.25">
      <c r="B36" s="36"/>
      <c r="C36" s="36"/>
      <c r="D36" s="37" t="s">
        <v>430</v>
      </c>
      <c r="E36" s="38" t="s">
        <v>436</v>
      </c>
      <c r="F36" s="28" t="s">
        <v>61</v>
      </c>
      <c r="G36" s="39"/>
      <c r="H36" s="40"/>
      <c r="I36" s="41" t="s">
        <v>160</v>
      </c>
      <c r="J36" s="36"/>
      <c r="K36" s="36"/>
      <c r="L36" s="36"/>
      <c r="M36" s="36"/>
      <c r="N36" s="36"/>
      <c r="O36" s="36"/>
      <c r="P36" s="36"/>
      <c r="Q36" s="36"/>
    </row>
    <row r="37" spans="2:19" ht="33.75" customHeight="1" x14ac:dyDescent="0.25">
      <c r="B37" s="57"/>
      <c r="C37" s="57"/>
      <c r="D37" s="58" t="s">
        <v>437</v>
      </c>
      <c r="E37" s="59" t="s">
        <v>438</v>
      </c>
      <c r="F37" s="60" t="s">
        <v>439</v>
      </c>
      <c r="G37" s="61" t="s">
        <v>271</v>
      </c>
      <c r="H37" s="62" t="s">
        <v>137</v>
      </c>
      <c r="I37" s="28" t="s">
        <v>61</v>
      </c>
      <c r="J37" s="63" t="s">
        <v>21</v>
      </c>
      <c r="K37" s="64"/>
      <c r="L37" s="64"/>
      <c r="M37" s="64"/>
      <c r="N37" s="65">
        <f>COUNTIF(F39:F42,"Pendiente")+COUNTIF(F39:F42,"En Progreso")+COUNTIF(F39:F42,"En Revisión")+COUNTIF(F39:F42,"Completado")+COUNTIF(F39:F42,"Bloqueado")</f>
        <v>4</v>
      </c>
      <c r="O37" s="65">
        <f>COUNTIF(F39:F42,"Completado")</f>
        <v>0</v>
      </c>
      <c r="P37" s="66">
        <f>IFERROR(O37/N37,0)</f>
        <v>0</v>
      </c>
      <c r="Q37" s="67" t="s">
        <v>255</v>
      </c>
      <c r="R37">
        <f>COUNTIF(F39:F42,"En Progreso")</f>
        <v>0</v>
      </c>
      <c r="S37">
        <f>COUNTIF(F39:F42,"Pendiente")</f>
        <v>4</v>
      </c>
    </row>
    <row r="38" spans="2:19" ht="15.75" customHeight="1" x14ac:dyDescent="0.25">
      <c r="B38" s="33"/>
      <c r="C38" s="33"/>
      <c r="D38" s="34" t="s">
        <v>45</v>
      </c>
      <c r="E38" s="35" t="s">
        <v>46</v>
      </c>
      <c r="F38" s="34" t="s">
        <v>31</v>
      </c>
      <c r="G38" s="34" t="s">
        <v>32</v>
      </c>
      <c r="H38" s="34" t="s">
        <v>34</v>
      </c>
      <c r="I38" s="34" t="s">
        <v>47</v>
      </c>
      <c r="J38" s="33"/>
      <c r="K38" s="33"/>
      <c r="L38" s="33"/>
      <c r="M38" s="33"/>
      <c r="N38" s="33"/>
      <c r="O38" s="33"/>
      <c r="P38" s="33"/>
      <c r="Q38" s="33"/>
    </row>
    <row r="39" spans="2:19" ht="15" customHeight="1" x14ac:dyDescent="0.25">
      <c r="B39" s="36"/>
      <c r="C39" s="36"/>
      <c r="D39" s="37" t="s">
        <v>437</v>
      </c>
      <c r="E39" s="38" t="s">
        <v>440</v>
      </c>
      <c r="F39" s="28" t="s">
        <v>61</v>
      </c>
      <c r="G39" s="39"/>
      <c r="H39" s="40"/>
      <c r="I39" s="41" t="s">
        <v>160</v>
      </c>
      <c r="J39" s="36"/>
      <c r="K39" s="36"/>
      <c r="L39" s="36"/>
      <c r="M39" s="36"/>
      <c r="N39" s="36"/>
      <c r="O39" s="36"/>
      <c r="P39" s="36"/>
      <c r="Q39" s="36"/>
    </row>
    <row r="40" spans="2:19" ht="15" customHeight="1" x14ac:dyDescent="0.25">
      <c r="B40" s="36"/>
      <c r="C40" s="36"/>
      <c r="D40" s="37" t="s">
        <v>437</v>
      </c>
      <c r="E40" s="38" t="s">
        <v>441</v>
      </c>
      <c r="F40" s="28" t="s">
        <v>61</v>
      </c>
      <c r="G40" s="39"/>
      <c r="H40" s="40"/>
      <c r="I40" s="41" t="s">
        <v>160</v>
      </c>
      <c r="J40" s="36"/>
      <c r="K40" s="36"/>
      <c r="L40" s="36"/>
      <c r="M40" s="36"/>
      <c r="N40" s="36"/>
      <c r="O40" s="36"/>
      <c r="P40" s="36"/>
      <c r="Q40" s="36"/>
    </row>
    <row r="41" spans="2:19" ht="15" customHeight="1" x14ac:dyDescent="0.25">
      <c r="B41" s="36"/>
      <c r="C41" s="36"/>
      <c r="D41" s="37" t="s">
        <v>437</v>
      </c>
      <c r="E41" s="38" t="s">
        <v>442</v>
      </c>
      <c r="F41" s="28" t="s">
        <v>61</v>
      </c>
      <c r="G41" s="39"/>
      <c r="H41" s="40"/>
      <c r="I41" s="41" t="s">
        <v>160</v>
      </c>
      <c r="J41" s="36"/>
      <c r="K41" s="36"/>
      <c r="L41" s="36"/>
      <c r="M41" s="36"/>
      <c r="N41" s="36"/>
      <c r="O41" s="36"/>
      <c r="P41" s="36"/>
      <c r="Q41" s="36"/>
    </row>
    <row r="42" spans="2:19" ht="15" customHeight="1" x14ac:dyDescent="0.25">
      <c r="B42" s="36"/>
      <c r="C42" s="36"/>
      <c r="D42" s="37" t="s">
        <v>437</v>
      </c>
      <c r="E42" s="38" t="s">
        <v>443</v>
      </c>
      <c r="F42" s="28" t="s">
        <v>61</v>
      </c>
      <c r="G42" s="39"/>
      <c r="H42" s="40"/>
      <c r="I42" s="41" t="s">
        <v>160</v>
      </c>
      <c r="J42" s="36"/>
      <c r="K42" s="36"/>
      <c r="L42" s="36"/>
      <c r="M42" s="36"/>
      <c r="N42" s="36"/>
      <c r="O42" s="36"/>
      <c r="P42" s="36"/>
      <c r="Q42" s="36"/>
    </row>
    <row r="43" spans="2:19" ht="33.75" customHeight="1" x14ac:dyDescent="0.25">
      <c r="B43" s="57"/>
      <c r="C43" s="57"/>
      <c r="D43" s="58" t="s">
        <v>444</v>
      </c>
      <c r="E43" s="59" t="s">
        <v>445</v>
      </c>
      <c r="F43" s="60" t="s">
        <v>446</v>
      </c>
      <c r="G43" s="61" t="s">
        <v>447</v>
      </c>
      <c r="H43" s="62" t="s">
        <v>137</v>
      </c>
      <c r="I43" s="28" t="s">
        <v>61</v>
      </c>
      <c r="J43" s="63" t="s">
        <v>21</v>
      </c>
      <c r="K43" s="64"/>
      <c r="L43" s="64"/>
      <c r="M43" s="64"/>
      <c r="N43" s="65">
        <f>COUNTIF(F45:F47,"Pendiente")+COUNTIF(F45:F47,"En Progreso")+COUNTIF(F45:F47,"En Revisión")+COUNTIF(F45:F47,"Completado")+COUNTIF(F45:F47,"Bloqueado")</f>
        <v>3</v>
      </c>
      <c r="O43" s="65">
        <f>COUNTIF(F45:F47,"Completado")</f>
        <v>0</v>
      </c>
      <c r="P43" s="66">
        <f>IFERROR(O43/N43,0)</f>
        <v>0</v>
      </c>
      <c r="Q43" s="67" t="s">
        <v>255</v>
      </c>
      <c r="R43">
        <f>COUNTIF(F45:F47,"En Progreso")</f>
        <v>0</v>
      </c>
      <c r="S43">
        <f>COUNTIF(F45:F47,"Pendiente")</f>
        <v>3</v>
      </c>
    </row>
    <row r="44" spans="2:19" ht="15.75" customHeight="1" x14ac:dyDescent="0.25">
      <c r="B44" s="33"/>
      <c r="C44" s="33"/>
      <c r="D44" s="34" t="s">
        <v>45</v>
      </c>
      <c r="E44" s="35" t="s">
        <v>46</v>
      </c>
      <c r="F44" s="34" t="s">
        <v>31</v>
      </c>
      <c r="G44" s="34" t="s">
        <v>32</v>
      </c>
      <c r="H44" s="34" t="s">
        <v>34</v>
      </c>
      <c r="I44" s="34" t="s">
        <v>47</v>
      </c>
      <c r="J44" s="33"/>
      <c r="K44" s="33"/>
      <c r="L44" s="33"/>
      <c r="M44" s="33"/>
      <c r="N44" s="33"/>
      <c r="O44" s="33"/>
      <c r="P44" s="33"/>
      <c r="Q44" s="33"/>
    </row>
    <row r="45" spans="2:19" ht="15" customHeight="1" x14ac:dyDescent="0.25">
      <c r="B45" s="36"/>
      <c r="C45" s="36"/>
      <c r="D45" s="37" t="s">
        <v>444</v>
      </c>
      <c r="E45" s="38" t="s">
        <v>448</v>
      </c>
      <c r="F45" s="28" t="s">
        <v>61</v>
      </c>
      <c r="G45" s="39"/>
      <c r="H45" s="40"/>
      <c r="I45" s="41" t="s">
        <v>160</v>
      </c>
      <c r="J45" s="36"/>
      <c r="K45" s="36"/>
      <c r="L45" s="36"/>
      <c r="M45" s="36"/>
      <c r="N45" s="36"/>
      <c r="O45" s="36"/>
      <c r="P45" s="36"/>
      <c r="Q45" s="36"/>
    </row>
    <row r="46" spans="2:19" ht="15" customHeight="1" x14ac:dyDescent="0.25">
      <c r="B46" s="36"/>
      <c r="C46" s="36"/>
      <c r="D46" s="37" t="s">
        <v>444</v>
      </c>
      <c r="E46" s="38" t="s">
        <v>449</v>
      </c>
      <c r="F46" s="28" t="s">
        <v>61</v>
      </c>
      <c r="G46" s="39"/>
      <c r="H46" s="40"/>
      <c r="I46" s="41" t="s">
        <v>160</v>
      </c>
      <c r="J46" s="36"/>
      <c r="K46" s="36"/>
      <c r="L46" s="36"/>
      <c r="M46" s="36"/>
      <c r="N46" s="36"/>
      <c r="O46" s="36"/>
      <c r="P46" s="36"/>
      <c r="Q46" s="36"/>
    </row>
    <row r="47" spans="2:19" ht="15" customHeight="1" x14ac:dyDescent="0.25">
      <c r="B47" s="36"/>
      <c r="C47" s="36"/>
      <c r="D47" s="37" t="s">
        <v>444</v>
      </c>
      <c r="E47" s="38" t="s">
        <v>450</v>
      </c>
      <c r="F47" s="28" t="s">
        <v>61</v>
      </c>
      <c r="G47" s="39"/>
      <c r="H47" s="40"/>
      <c r="I47" s="41" t="s">
        <v>160</v>
      </c>
      <c r="J47" s="36"/>
      <c r="K47" s="36"/>
      <c r="L47" s="36"/>
      <c r="M47" s="36"/>
      <c r="N47" s="36"/>
      <c r="O47" s="36"/>
      <c r="P47" s="36"/>
      <c r="Q47" s="36"/>
    </row>
    <row r="49" spans="2:17" ht="21.75" customHeight="1" x14ac:dyDescent="0.25">
      <c r="B49" s="3" t="s">
        <v>173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54">
        <f>COUNTIF(F7:F48,"Pendiente")+COUNTIF(F7:F48,"En Progreso")+COUNTIF(F7:F48,"En Revisión")+COUNTIF(F7:F48,"Completado")+COUNTIF(F7:F48,"Bloqueado")</f>
        <v>27</v>
      </c>
      <c r="O49" s="54">
        <f>COUNTIF(F7:F48,"Completado")</f>
        <v>0</v>
      </c>
      <c r="P49" s="55">
        <f>IFERROR(O49/N49,0)</f>
        <v>0</v>
      </c>
      <c r="Q49" s="56"/>
    </row>
  </sheetData>
  <mergeCells count="4">
    <mergeCell ref="A2:Q2"/>
    <mergeCell ref="A3:Q3"/>
    <mergeCell ref="A4:Q4"/>
    <mergeCell ref="B49:M49"/>
  </mergeCells>
  <dataValidations count="2">
    <dataValidation type="list" allowBlank="1" sqref="I7 F9:F12 I13 F15:F18 I19 F21:F24 I25 F27:F30 I31 F33:F36 I37 F39:F42 I43 F45:F47" xr:uid="{00000000-0002-0000-0600-000000000000}">
      <formula1>"Pendiente,En Progreso,En Revisión,Completado,Bloqueado"</formula1>
      <formula2>0</formula2>
    </dataValidation>
    <dataValidation type="list" allowBlank="1" sqref="J7 J13 J19 J25 J31 J37 J43" xr:uid="{00000000-0002-0000-0600-000001000000}">
      <formula1>"Demo,Fase 2,Fase 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24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26" customWidth="1"/>
    <col min="3" max="3" width="90" customWidth="1"/>
  </cols>
  <sheetData>
    <row r="1" spans="2:3" ht="7.5" customHeight="1" x14ac:dyDescent="0.25"/>
    <row r="2" spans="2:3" ht="30" customHeight="1" x14ac:dyDescent="0.25">
      <c r="B2" s="2" t="s">
        <v>451</v>
      </c>
      <c r="C2" s="2"/>
    </row>
    <row r="4" spans="2:3" ht="19.5" customHeight="1" x14ac:dyDescent="0.25">
      <c r="B4" s="7" t="s">
        <v>452</v>
      </c>
      <c r="C4" s="7"/>
    </row>
    <row r="5" spans="2:3" ht="30" customHeight="1" x14ac:dyDescent="0.25">
      <c r="B5" s="70" t="s">
        <v>453</v>
      </c>
      <c r="C5" s="71" t="s">
        <v>454</v>
      </c>
    </row>
    <row r="6" spans="2:3" ht="30" customHeight="1" x14ac:dyDescent="0.25">
      <c r="B6" s="70" t="s">
        <v>455</v>
      </c>
      <c r="C6" s="71" t="s">
        <v>456</v>
      </c>
    </row>
    <row r="7" spans="2:3" ht="19.5" customHeight="1" x14ac:dyDescent="0.25">
      <c r="B7" s="7" t="s">
        <v>457</v>
      </c>
      <c r="C7" s="7"/>
    </row>
    <row r="8" spans="2:3" ht="30" customHeight="1" x14ac:dyDescent="0.25">
      <c r="B8" s="70" t="s">
        <v>19</v>
      </c>
      <c r="C8" s="71" t="s">
        <v>458</v>
      </c>
    </row>
    <row r="9" spans="2:3" ht="30" customHeight="1" x14ac:dyDescent="0.25">
      <c r="B9" s="70" t="s">
        <v>20</v>
      </c>
      <c r="C9" s="71" t="s">
        <v>459</v>
      </c>
    </row>
    <row r="10" spans="2:3" ht="30" customHeight="1" x14ac:dyDescent="0.25">
      <c r="B10" s="70" t="s">
        <v>21</v>
      </c>
      <c r="C10" s="71" t="s">
        <v>460</v>
      </c>
    </row>
    <row r="11" spans="2:3" ht="19.5" customHeight="1" x14ac:dyDescent="0.25">
      <c r="B11" s="7" t="s">
        <v>461</v>
      </c>
      <c r="C11" s="7"/>
    </row>
    <row r="12" spans="2:3" ht="30" customHeight="1" x14ac:dyDescent="0.25">
      <c r="B12" s="70" t="s">
        <v>61</v>
      </c>
      <c r="C12" s="71" t="s">
        <v>462</v>
      </c>
    </row>
    <row r="13" spans="2:3" ht="30" customHeight="1" x14ac:dyDescent="0.25">
      <c r="B13" s="70" t="s">
        <v>5</v>
      </c>
      <c r="C13" s="71" t="s">
        <v>463</v>
      </c>
    </row>
    <row r="14" spans="2:3" ht="30" customHeight="1" x14ac:dyDescent="0.25">
      <c r="B14" s="70" t="s">
        <v>464</v>
      </c>
      <c r="C14" s="71" t="s">
        <v>465</v>
      </c>
    </row>
    <row r="15" spans="2:3" ht="30" customHeight="1" x14ac:dyDescent="0.25">
      <c r="B15" s="70" t="s">
        <v>49</v>
      </c>
      <c r="C15" s="71" t="s">
        <v>466</v>
      </c>
    </row>
    <row r="16" spans="2:3" ht="30" customHeight="1" x14ac:dyDescent="0.25">
      <c r="B16" s="70" t="s">
        <v>467</v>
      </c>
      <c r="C16" s="71" t="s">
        <v>468</v>
      </c>
    </row>
    <row r="17" spans="2:3" ht="19.5" customHeight="1" x14ac:dyDescent="0.25">
      <c r="B17" s="7" t="s">
        <v>469</v>
      </c>
      <c r="C17" s="7"/>
    </row>
    <row r="18" spans="2:3" ht="30" customHeight="1" x14ac:dyDescent="0.25">
      <c r="B18" s="70" t="s">
        <v>470</v>
      </c>
      <c r="C18" s="71" t="s">
        <v>471</v>
      </c>
    </row>
    <row r="19" spans="2:3" ht="30" customHeight="1" x14ac:dyDescent="0.25">
      <c r="B19" s="70" t="s">
        <v>472</v>
      </c>
      <c r="C19" s="71" t="s">
        <v>473</v>
      </c>
    </row>
    <row r="20" spans="2:3" ht="30" customHeight="1" x14ac:dyDescent="0.25">
      <c r="B20" s="70" t="s">
        <v>474</v>
      </c>
      <c r="C20" s="71" t="s">
        <v>475</v>
      </c>
    </row>
    <row r="21" spans="2:3" ht="19.5" customHeight="1" x14ac:dyDescent="0.25">
      <c r="B21" s="7" t="s">
        <v>476</v>
      </c>
      <c r="C21" s="7"/>
    </row>
    <row r="22" spans="2:3" ht="30" customHeight="1" x14ac:dyDescent="0.25">
      <c r="B22" s="70" t="s">
        <v>477</v>
      </c>
      <c r="C22" s="71" t="s">
        <v>478</v>
      </c>
    </row>
    <row r="24" spans="2:3" ht="18" customHeight="1" x14ac:dyDescent="0.25">
      <c r="B24" s="1" t="s">
        <v>479</v>
      </c>
      <c r="C24" s="1"/>
    </row>
  </sheetData>
  <mergeCells count="7">
    <mergeCell ref="B21:C21"/>
    <mergeCell ref="B24:C24"/>
    <mergeCell ref="B2:C2"/>
    <mergeCell ref="B4:C4"/>
    <mergeCell ref="B7:C7"/>
    <mergeCell ref="B11:C11"/>
    <mergeCell ref="B17:C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📊 Dashboard</vt:lpstr>
      <vt:lpstr>E1 · Captura</vt:lpstr>
      <vt:lpstr>E2 · Validación IA</vt:lpstr>
      <vt:lpstr>E3 · Envío</vt:lpstr>
      <vt:lpstr>E4 · Glosas</vt:lpstr>
      <vt:lpstr>E5 · Apelación</vt:lpstr>
      <vt:lpstr>E6 · Pago y Cierre</vt:lpstr>
      <vt:lpstr>📋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Fernando Contreras</cp:lastModifiedBy>
  <cp:revision>0</cp:revision>
  <dcterms:created xsi:type="dcterms:W3CDTF">2026-07-03T21:03:31Z</dcterms:created>
  <dcterms:modified xsi:type="dcterms:W3CDTF">2026-07-03T21:28:35Z</dcterms:modified>
  <dc:language>en-US</dc:language>
</cp:coreProperties>
</file>